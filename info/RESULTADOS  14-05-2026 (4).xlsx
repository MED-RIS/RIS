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RIS\"/>
    </mc:Choice>
  </mc:AlternateContent>
  <xr:revisionPtr revIDLastSave="0" documentId="13_ncr:1_{8C15F565-C7C4-4957-8E7E-B59D6A495779}" xr6:coauthVersionLast="45" xr6:coauthVersionMax="45" xr10:uidLastSave="{00000000-0000-0000-0000-000000000000}"/>
  <bookViews>
    <workbookView xWindow="-108" yWindow="-108" windowWidth="23256" windowHeight="12456" tabRatio="905" firstSheet="1" activeTab="13" xr2:uid="{00000000-000D-0000-FFFF-FFFF00000000}"/>
  </bookViews>
  <sheets>
    <sheet name="HEMATO" sheetId="22" r:id="rId1"/>
    <sheet name="G. SANGUINEO" sheetId="41" r:id="rId2"/>
    <sheet name="---TP---" sheetId="38" r:id="rId3"/>
    <sheet name="QMC " sheetId="24" r:id="rId4"/>
    <sheet name="ELEC. MICRO. PROT" sheetId="25" r:id="rId5"/>
    <sheet name="SERO" sheetId="26" r:id="rId6"/>
    <sheet name="EGO" sheetId="29" r:id="rId7"/>
    <sheet name="TOLER" sheetId="27" r:id="rId8"/>
    <sheet name="HTO-HB" sheetId="31" r:id="rId9"/>
    <sheet name="HTO-HB -LEUCO+WIDAL" sheetId="32" r:id="rId10"/>
    <sheet name="LIQUIDOS" sheetId="36" r:id="rId11"/>
    <sheet name="ESPERMATO" sheetId="40" r:id="rId12"/>
    <sheet name="VACIO" sheetId="33" r:id="rId13"/>
    <sheet name="DATOS" sheetId="1" r:id="rId14"/>
    <sheet name="SNIS NO TOCAR" sheetId="35" r:id="rId15"/>
    <sheet name="LISTA ENTREGA DE RESULTADOS" sheetId="34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13" hidden="1">DATOS!$BJ$1:$BJ$506</definedName>
    <definedName name="_xlnm._FilterDatabase" localSheetId="15" hidden="1">'LISTA ENTREGA DE RESULTADOS'!$A$3:$J$102</definedName>
    <definedName name="_xlnm.Extract" localSheetId="15">'LISTA ENTREGA DE RESULTADOS'!#REF!</definedName>
    <definedName name="_xlnm.Print_Area" localSheetId="6">EGO!$B$2:$U$25</definedName>
    <definedName name="_xlnm.Print_Area" localSheetId="4">'ELEC. MICRO. PROT'!$B$2:$R$22</definedName>
    <definedName name="_xlnm.Print_Area" localSheetId="11">ESPERMATO!$A$2:$L$50</definedName>
    <definedName name="_xlnm.Print_Area" localSheetId="1">'G. SANGUINEO'!$B$2:$R$21</definedName>
    <definedName name="_xlnm.Print_Area" localSheetId="0">HEMATO!$C$2:$U$27</definedName>
    <definedName name="_xlnm.Print_Area" localSheetId="8">'HTO-HB'!$B$2:$R$21</definedName>
    <definedName name="_xlnm.Print_Area" localSheetId="9">'HTO-HB -LEUCO+WIDAL'!$B$2:$R$27</definedName>
    <definedName name="_xlnm.Print_Area" localSheetId="10">LIQUIDOS!$A$2:$K$47</definedName>
    <definedName name="_xlnm.Print_Area" localSheetId="15">'LISTA ENTREGA DE RESULTADOS'!$A$1:$I$73</definedName>
    <definedName name="_xlnm.Print_Area" localSheetId="3">'QMC '!$B$2:$R$23</definedName>
    <definedName name="_xlnm.Print_Area" localSheetId="5">SERO!$B$2:$R$22</definedName>
    <definedName name="_xlnm.Print_Area" localSheetId="14">'SNIS NO TOCAR'!$A$1:$R$33</definedName>
    <definedName name="_xlnm.Print_Area" localSheetId="7">TOLER!$B$2:$R$23</definedName>
    <definedName name="_xlnm.Print_Area" localSheetId="2">'---TP---'!$B$2:$R$21</definedName>
    <definedName name="_xlnm.Print_Area" localSheetId="12">VACIO!$B$2:$R$21</definedName>
    <definedName name="ASPECTO" localSheetId="11">[1]DATOS!$DP$1098:$DP$1102</definedName>
    <definedName name="ASPECTO" localSheetId="10">[1]DATOS!$DP$1098:$DP$1102</definedName>
    <definedName name="ASPECTO">[2]DATOS!$DP$1098:$DP$1102</definedName>
    <definedName name="B">[3]DATOS!$DF$3005:$DF$3008</definedName>
    <definedName name="COLOR" localSheetId="11">[1]DATOS!$DO$1098:$DO$1109</definedName>
    <definedName name="COLOR" localSheetId="10">[1]DATOS!$DO$1098:$DO$1109</definedName>
    <definedName name="COLOR">[2]DATOS!$DO$1098:$DO$1109</definedName>
    <definedName name="_xlnm.Criteria" localSheetId="15">'LISTA ENTREGA DE RESULTADOS'!#REF!</definedName>
    <definedName name="ESPUMA" localSheetId="11">[1]DATOS!$DU$1098:$DU$1099</definedName>
    <definedName name="ESPUMA" localSheetId="10">[1]DATOS!$DU$1098:$DU$1099</definedName>
    <definedName name="ESPUMA">[2]DATOS!$DU$1098:$DU$1099</definedName>
    <definedName name="GENERO">[3]DATOS!$H$3005:$H$3006</definedName>
    <definedName name="OLOR" localSheetId="11">[1]DATOS!$DQ$1098:$DQ$1101</definedName>
    <definedName name="OLOR" localSheetId="10">[1]DATOS!$DQ$1098:$DQ$1101</definedName>
    <definedName name="OLOR">[2]DATOS!$DQ$1098:$DQ$1101</definedName>
    <definedName name="P" localSheetId="1">DATOS!#REF!</definedName>
    <definedName name="P">DATOS!#REF!</definedName>
    <definedName name="PROT" localSheetId="11">[1]DATOS!$DW$1098:$DW$1103</definedName>
    <definedName name="PROT" localSheetId="10">[1]DATOS!$DW$1098:$DW$1103</definedName>
    <definedName name="PROT">[2]DATOS!$DW$1098:$DW$1103</definedName>
    <definedName name="REACCION" localSheetId="11">[1]DATOS!$DS$1098:$DS$1100</definedName>
    <definedName name="REACCION" localSheetId="10">[1]DATOS!$DS$1098:$DS$1100</definedName>
    <definedName name="REACCION" localSheetId="14">[2]DATOS!$DS$1098:$DS$1100</definedName>
    <definedName name="REACCION">[3]DATOS!$CS$3005:$CS$3007</definedName>
    <definedName name="RESPON">[4]DATOS!$FL$3006:$FL$3013</definedName>
    <definedName name="RESPONSABLE" localSheetId="4">DATOS!#REF!</definedName>
    <definedName name="RESPONSABLE" localSheetId="11">[1]DATOS!$Q$1098:$Q$1105</definedName>
    <definedName name="RESPONSABLE" localSheetId="1">DATOS!#REF!</definedName>
    <definedName name="RESPONSABLE" localSheetId="8">DATOS!#REF!</definedName>
    <definedName name="RESPONSABLE" localSheetId="9">DATOS!#REF!</definedName>
    <definedName name="RESPONSABLE" localSheetId="10">[1]DATOS!$Q$1098:$Q$1105</definedName>
    <definedName name="RESPONSABLE" localSheetId="5">DATOS!#REF!</definedName>
    <definedName name="RESPONSABLE" localSheetId="14">[2]DATOS!$Q$1098:$Q$1105</definedName>
    <definedName name="RESPONSABLE" localSheetId="7">DATOS!#REF!</definedName>
    <definedName name="RESPONSABLE" localSheetId="2">DATOS!#REF!</definedName>
    <definedName name="RESPONSABLE" localSheetId="12">DATOS!#REF!</definedName>
    <definedName name="RESPONSABLE">DATOS!#REF!</definedName>
    <definedName name="RESPONSABLES">[3]DATOS!$AQ$3005:$AQ$3012</definedName>
    <definedName name="U" localSheetId="11">ESPERMATO!$F$44</definedName>
    <definedName name="U" localSheetId="1">#REF!</definedName>
    <definedName name="U" localSheetId="10">LIQUIDOS!$E$41</definedName>
    <definedName name="U" localSheetId="2">#REF!</definedName>
    <definedName name="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36" l="1"/>
  <c r="F31" i="36"/>
  <c r="F27" i="36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J17" i="25" l="1"/>
  <c r="F15" i="25"/>
  <c r="AO66" i="1"/>
  <c r="AP66" i="1" s="1"/>
  <c r="AO67" i="1"/>
  <c r="K14" i="41"/>
  <c r="Q21" i="41"/>
  <c r="I21" i="41"/>
  <c r="L8" i="41"/>
  <c r="G8" i="41"/>
  <c r="C8" i="41"/>
  <c r="C5" i="41"/>
  <c r="R3" i="41"/>
  <c r="P3" i="41"/>
  <c r="J3" i="41"/>
  <c r="P2" i="41"/>
  <c r="A137" i="34" l="1"/>
  <c r="B137" i="34"/>
  <c r="D137" i="34"/>
  <c r="E137" i="34"/>
  <c r="F137" i="34"/>
  <c r="G137" i="34"/>
  <c r="H137" i="34"/>
  <c r="A138" i="34"/>
  <c r="B138" i="34"/>
  <c r="D138" i="34"/>
  <c r="E138" i="34"/>
  <c r="F138" i="34"/>
  <c r="G138" i="34"/>
  <c r="H138" i="34"/>
  <c r="A139" i="34"/>
  <c r="B139" i="34"/>
  <c r="D139" i="34"/>
  <c r="E139" i="34"/>
  <c r="F139" i="34"/>
  <c r="G139" i="34"/>
  <c r="H139" i="34"/>
  <c r="A140" i="34"/>
  <c r="B140" i="34"/>
  <c r="D140" i="34"/>
  <c r="E140" i="34"/>
  <c r="F140" i="34"/>
  <c r="G140" i="34"/>
  <c r="H140" i="34"/>
  <c r="A141" i="34"/>
  <c r="B141" i="34"/>
  <c r="D141" i="34"/>
  <c r="E141" i="34"/>
  <c r="F141" i="34"/>
  <c r="G141" i="34"/>
  <c r="H141" i="34"/>
  <c r="A142" i="34"/>
  <c r="B142" i="34"/>
  <c r="D142" i="34"/>
  <c r="E142" i="34"/>
  <c r="F142" i="34"/>
  <c r="G142" i="34"/>
  <c r="H142" i="34"/>
  <c r="A143" i="34"/>
  <c r="B143" i="34"/>
  <c r="D143" i="34"/>
  <c r="E143" i="34"/>
  <c r="F143" i="34"/>
  <c r="G143" i="34"/>
  <c r="H143" i="34"/>
  <c r="A144" i="34"/>
  <c r="B144" i="34"/>
  <c r="D144" i="34"/>
  <c r="E144" i="34"/>
  <c r="F144" i="34"/>
  <c r="G144" i="34"/>
  <c r="H144" i="34"/>
  <c r="A145" i="34"/>
  <c r="B145" i="34"/>
  <c r="D145" i="34"/>
  <c r="E145" i="34"/>
  <c r="F145" i="34"/>
  <c r="G145" i="34"/>
  <c r="H145" i="34"/>
  <c r="A146" i="34"/>
  <c r="B146" i="34"/>
  <c r="D146" i="34"/>
  <c r="E146" i="34"/>
  <c r="F146" i="34"/>
  <c r="G146" i="34"/>
  <c r="H146" i="34"/>
  <c r="A15" i="34"/>
  <c r="B15" i="34"/>
  <c r="D15" i="34"/>
  <c r="E15" i="34"/>
  <c r="F15" i="34"/>
  <c r="G15" i="34"/>
  <c r="H15" i="34"/>
  <c r="A16" i="34"/>
  <c r="B16" i="34"/>
  <c r="D16" i="34"/>
  <c r="E16" i="34"/>
  <c r="F16" i="34"/>
  <c r="G16" i="34"/>
  <c r="H16" i="34"/>
  <c r="A17" i="34"/>
  <c r="B17" i="34"/>
  <c r="D17" i="34"/>
  <c r="E17" i="34"/>
  <c r="F17" i="34"/>
  <c r="G17" i="34"/>
  <c r="H17" i="34"/>
  <c r="A18" i="34"/>
  <c r="B18" i="34"/>
  <c r="D18" i="34"/>
  <c r="E18" i="34"/>
  <c r="F18" i="34"/>
  <c r="G18" i="34"/>
  <c r="H18" i="34"/>
  <c r="A19" i="34"/>
  <c r="B19" i="34"/>
  <c r="D19" i="34"/>
  <c r="E19" i="34"/>
  <c r="F19" i="34"/>
  <c r="G19" i="34"/>
  <c r="H19" i="34"/>
  <c r="A20" i="34"/>
  <c r="B20" i="34"/>
  <c r="D20" i="34"/>
  <c r="E20" i="34"/>
  <c r="F20" i="34"/>
  <c r="G20" i="34"/>
  <c r="H20" i="34"/>
  <c r="A21" i="34"/>
  <c r="B21" i="34"/>
  <c r="D21" i="34"/>
  <c r="E21" i="34"/>
  <c r="F21" i="34"/>
  <c r="G21" i="34"/>
  <c r="H21" i="34"/>
  <c r="A22" i="34"/>
  <c r="B22" i="34"/>
  <c r="D22" i="34"/>
  <c r="E22" i="34"/>
  <c r="F22" i="34"/>
  <c r="G22" i="34"/>
  <c r="H22" i="34"/>
  <c r="A23" i="34"/>
  <c r="B23" i="34"/>
  <c r="D23" i="34"/>
  <c r="E23" i="34"/>
  <c r="F23" i="34"/>
  <c r="G23" i="34"/>
  <c r="H23" i="34"/>
  <c r="A24" i="34"/>
  <c r="B24" i="34"/>
  <c r="D24" i="34"/>
  <c r="E24" i="34"/>
  <c r="F24" i="34"/>
  <c r="G24" i="34"/>
  <c r="H24" i="34"/>
  <c r="A25" i="34"/>
  <c r="B25" i="34"/>
  <c r="D25" i="34"/>
  <c r="E25" i="34"/>
  <c r="F25" i="34"/>
  <c r="G25" i="34"/>
  <c r="H25" i="34"/>
  <c r="A26" i="34"/>
  <c r="B26" i="34"/>
  <c r="D26" i="34"/>
  <c r="E26" i="34"/>
  <c r="F26" i="34"/>
  <c r="G26" i="34"/>
  <c r="H26" i="34"/>
  <c r="A27" i="34"/>
  <c r="B27" i="34"/>
  <c r="D27" i="34"/>
  <c r="E27" i="34"/>
  <c r="F27" i="34"/>
  <c r="G27" i="34"/>
  <c r="H27" i="34"/>
  <c r="A28" i="34"/>
  <c r="B28" i="34"/>
  <c r="D28" i="34"/>
  <c r="E28" i="34"/>
  <c r="F28" i="34"/>
  <c r="G28" i="34"/>
  <c r="H28" i="34"/>
  <c r="A29" i="34"/>
  <c r="B29" i="34"/>
  <c r="D29" i="34"/>
  <c r="E29" i="34"/>
  <c r="F29" i="34"/>
  <c r="G29" i="34"/>
  <c r="H29" i="34"/>
  <c r="A30" i="34"/>
  <c r="B30" i="34"/>
  <c r="D30" i="34"/>
  <c r="E30" i="34"/>
  <c r="F30" i="34"/>
  <c r="G30" i="34"/>
  <c r="H30" i="34"/>
  <c r="A31" i="34"/>
  <c r="B31" i="34"/>
  <c r="D31" i="34"/>
  <c r="E31" i="34"/>
  <c r="F31" i="34"/>
  <c r="G31" i="34"/>
  <c r="H31" i="34"/>
  <c r="A32" i="34"/>
  <c r="B32" i="34"/>
  <c r="D32" i="34"/>
  <c r="E32" i="34"/>
  <c r="F32" i="34"/>
  <c r="G32" i="34"/>
  <c r="H32" i="34"/>
  <c r="A33" i="34"/>
  <c r="B33" i="34"/>
  <c r="D33" i="34"/>
  <c r="E33" i="34"/>
  <c r="F33" i="34"/>
  <c r="G33" i="34"/>
  <c r="H33" i="34"/>
  <c r="A34" i="34"/>
  <c r="B34" i="34"/>
  <c r="D34" i="34"/>
  <c r="E34" i="34"/>
  <c r="F34" i="34"/>
  <c r="G34" i="34"/>
  <c r="H34" i="34"/>
  <c r="A35" i="34"/>
  <c r="B35" i="34"/>
  <c r="D35" i="34"/>
  <c r="E35" i="34"/>
  <c r="F35" i="34"/>
  <c r="G35" i="34"/>
  <c r="H35" i="34"/>
  <c r="A36" i="34"/>
  <c r="B36" i="34"/>
  <c r="D36" i="34"/>
  <c r="E36" i="34"/>
  <c r="F36" i="34"/>
  <c r="G36" i="34"/>
  <c r="H36" i="34"/>
  <c r="A37" i="34"/>
  <c r="B37" i="34"/>
  <c r="D37" i="34"/>
  <c r="E37" i="34"/>
  <c r="F37" i="34"/>
  <c r="G37" i="34"/>
  <c r="H37" i="34"/>
  <c r="A38" i="34"/>
  <c r="B38" i="34"/>
  <c r="D38" i="34"/>
  <c r="E38" i="34"/>
  <c r="F38" i="34"/>
  <c r="G38" i="34"/>
  <c r="H38" i="34"/>
  <c r="A39" i="34"/>
  <c r="B39" i="34"/>
  <c r="D39" i="34"/>
  <c r="E39" i="34"/>
  <c r="F39" i="34"/>
  <c r="G39" i="34"/>
  <c r="H39" i="34"/>
  <c r="A40" i="34"/>
  <c r="B40" i="34"/>
  <c r="D40" i="34"/>
  <c r="E40" i="34"/>
  <c r="F40" i="34"/>
  <c r="G40" i="34"/>
  <c r="H40" i="34"/>
  <c r="A41" i="34"/>
  <c r="B41" i="34"/>
  <c r="D41" i="34"/>
  <c r="E41" i="34"/>
  <c r="F41" i="34"/>
  <c r="G41" i="34"/>
  <c r="H41" i="34"/>
  <c r="A42" i="34"/>
  <c r="B42" i="34"/>
  <c r="D42" i="34"/>
  <c r="E42" i="34"/>
  <c r="F42" i="34"/>
  <c r="G42" i="34"/>
  <c r="H42" i="34"/>
  <c r="A43" i="34"/>
  <c r="B43" i="34"/>
  <c r="D43" i="34"/>
  <c r="E43" i="34"/>
  <c r="F43" i="34"/>
  <c r="G43" i="34"/>
  <c r="H43" i="34"/>
  <c r="A44" i="34"/>
  <c r="B44" i="34"/>
  <c r="D44" i="34"/>
  <c r="E44" i="34"/>
  <c r="F44" i="34"/>
  <c r="G44" i="34"/>
  <c r="H44" i="34"/>
  <c r="A45" i="34"/>
  <c r="B45" i="34"/>
  <c r="D45" i="34"/>
  <c r="E45" i="34"/>
  <c r="F45" i="34"/>
  <c r="G45" i="34"/>
  <c r="H45" i="34"/>
  <c r="A46" i="34"/>
  <c r="B46" i="34"/>
  <c r="D46" i="34"/>
  <c r="E46" i="34"/>
  <c r="F46" i="34"/>
  <c r="G46" i="34"/>
  <c r="H46" i="34"/>
  <c r="A47" i="34"/>
  <c r="B47" i="34"/>
  <c r="D47" i="34"/>
  <c r="E47" i="34"/>
  <c r="F47" i="34"/>
  <c r="G47" i="34"/>
  <c r="H47" i="34"/>
  <c r="A48" i="34"/>
  <c r="B48" i="34"/>
  <c r="D48" i="34"/>
  <c r="E48" i="34"/>
  <c r="F48" i="34"/>
  <c r="G48" i="34"/>
  <c r="H48" i="34"/>
  <c r="A49" i="34"/>
  <c r="B49" i="34"/>
  <c r="D49" i="34"/>
  <c r="E49" i="34"/>
  <c r="F49" i="34"/>
  <c r="G49" i="34"/>
  <c r="H49" i="34"/>
  <c r="A50" i="34"/>
  <c r="B50" i="34"/>
  <c r="D50" i="34"/>
  <c r="E50" i="34"/>
  <c r="F50" i="34"/>
  <c r="G50" i="34"/>
  <c r="H50" i="34"/>
  <c r="A51" i="34"/>
  <c r="B51" i="34"/>
  <c r="D51" i="34"/>
  <c r="E51" i="34"/>
  <c r="F51" i="34"/>
  <c r="G51" i="34"/>
  <c r="H51" i="34"/>
  <c r="A52" i="34"/>
  <c r="B52" i="34"/>
  <c r="D52" i="34"/>
  <c r="E52" i="34"/>
  <c r="F52" i="34"/>
  <c r="G52" i="34"/>
  <c r="H52" i="34"/>
  <c r="A53" i="34"/>
  <c r="B53" i="34"/>
  <c r="D53" i="34"/>
  <c r="E53" i="34"/>
  <c r="F53" i="34"/>
  <c r="G53" i="34"/>
  <c r="H53" i="34"/>
  <c r="A54" i="34"/>
  <c r="B54" i="34"/>
  <c r="D54" i="34"/>
  <c r="E54" i="34"/>
  <c r="F54" i="34"/>
  <c r="G54" i="34"/>
  <c r="H54" i="34"/>
  <c r="A55" i="34"/>
  <c r="B55" i="34"/>
  <c r="D55" i="34"/>
  <c r="E55" i="34"/>
  <c r="F55" i="34"/>
  <c r="G55" i="34"/>
  <c r="H55" i="34"/>
  <c r="A56" i="34"/>
  <c r="B56" i="34"/>
  <c r="D56" i="34"/>
  <c r="E56" i="34"/>
  <c r="F56" i="34"/>
  <c r="G56" i="34"/>
  <c r="H56" i="34"/>
  <c r="A57" i="34"/>
  <c r="B57" i="34"/>
  <c r="D57" i="34"/>
  <c r="E57" i="34"/>
  <c r="F57" i="34"/>
  <c r="G57" i="34"/>
  <c r="H57" i="34"/>
  <c r="A58" i="34"/>
  <c r="B58" i="34"/>
  <c r="D58" i="34"/>
  <c r="E58" i="34"/>
  <c r="F58" i="34"/>
  <c r="G58" i="34"/>
  <c r="H58" i="34"/>
  <c r="A59" i="34"/>
  <c r="B59" i="34"/>
  <c r="D59" i="34"/>
  <c r="E59" i="34"/>
  <c r="F59" i="34"/>
  <c r="G59" i="34"/>
  <c r="H59" i="34"/>
  <c r="A60" i="34"/>
  <c r="B60" i="34"/>
  <c r="D60" i="34"/>
  <c r="E60" i="34"/>
  <c r="F60" i="34"/>
  <c r="G60" i="34"/>
  <c r="H60" i="34"/>
  <c r="A61" i="34"/>
  <c r="B61" i="34"/>
  <c r="D61" i="34"/>
  <c r="E61" i="34"/>
  <c r="F61" i="34"/>
  <c r="G61" i="34"/>
  <c r="H61" i="34"/>
  <c r="A62" i="34"/>
  <c r="B62" i="34"/>
  <c r="D62" i="34"/>
  <c r="E62" i="34"/>
  <c r="F62" i="34"/>
  <c r="G62" i="34"/>
  <c r="H62" i="34"/>
  <c r="A63" i="34"/>
  <c r="B63" i="34"/>
  <c r="D63" i="34"/>
  <c r="E63" i="34"/>
  <c r="F63" i="34"/>
  <c r="G63" i="34"/>
  <c r="H63" i="34"/>
  <c r="A64" i="34"/>
  <c r="B64" i="34"/>
  <c r="D64" i="34"/>
  <c r="E64" i="34"/>
  <c r="F64" i="34"/>
  <c r="G64" i="34"/>
  <c r="H64" i="34"/>
  <c r="A65" i="34"/>
  <c r="B65" i="34"/>
  <c r="D65" i="34"/>
  <c r="E65" i="34"/>
  <c r="F65" i="34"/>
  <c r="G65" i="34"/>
  <c r="H65" i="34"/>
  <c r="A66" i="34"/>
  <c r="B66" i="34"/>
  <c r="D66" i="34"/>
  <c r="E66" i="34"/>
  <c r="F66" i="34"/>
  <c r="G66" i="34"/>
  <c r="H66" i="34"/>
  <c r="A67" i="34"/>
  <c r="B67" i="34"/>
  <c r="D67" i="34"/>
  <c r="E67" i="34"/>
  <c r="F67" i="34"/>
  <c r="G67" i="34"/>
  <c r="H67" i="34"/>
  <c r="A68" i="34"/>
  <c r="B68" i="34"/>
  <c r="D68" i="34"/>
  <c r="E68" i="34"/>
  <c r="F68" i="34"/>
  <c r="G68" i="34"/>
  <c r="H68" i="34"/>
  <c r="A69" i="34"/>
  <c r="B69" i="34"/>
  <c r="D69" i="34"/>
  <c r="E69" i="34"/>
  <c r="F69" i="34"/>
  <c r="G69" i="34"/>
  <c r="H69" i="34"/>
  <c r="A70" i="34"/>
  <c r="B70" i="34"/>
  <c r="D70" i="34"/>
  <c r="E70" i="34"/>
  <c r="F70" i="34"/>
  <c r="G70" i="34"/>
  <c r="H70" i="34"/>
  <c r="A71" i="34"/>
  <c r="B71" i="34"/>
  <c r="D71" i="34"/>
  <c r="E71" i="34"/>
  <c r="F71" i="34"/>
  <c r="G71" i="34"/>
  <c r="H71" i="34"/>
  <c r="A72" i="34"/>
  <c r="B72" i="34"/>
  <c r="D72" i="34"/>
  <c r="E72" i="34"/>
  <c r="F72" i="34"/>
  <c r="G72" i="34"/>
  <c r="H72" i="34"/>
  <c r="A73" i="34"/>
  <c r="B73" i="34"/>
  <c r="D73" i="34"/>
  <c r="E73" i="34"/>
  <c r="F73" i="34"/>
  <c r="G73" i="34"/>
  <c r="H73" i="34"/>
  <c r="A74" i="34"/>
  <c r="B74" i="34"/>
  <c r="D74" i="34"/>
  <c r="E74" i="34"/>
  <c r="F74" i="34"/>
  <c r="G74" i="34"/>
  <c r="H74" i="34"/>
  <c r="A75" i="34"/>
  <c r="B75" i="34"/>
  <c r="D75" i="34"/>
  <c r="E75" i="34"/>
  <c r="F75" i="34"/>
  <c r="G75" i="34"/>
  <c r="H75" i="34"/>
  <c r="A76" i="34"/>
  <c r="B76" i="34"/>
  <c r="D76" i="34"/>
  <c r="E76" i="34"/>
  <c r="F76" i="34"/>
  <c r="G76" i="34"/>
  <c r="H76" i="34"/>
  <c r="A77" i="34"/>
  <c r="B77" i="34"/>
  <c r="D77" i="34"/>
  <c r="E77" i="34"/>
  <c r="F77" i="34"/>
  <c r="G77" i="34"/>
  <c r="H77" i="34"/>
  <c r="A78" i="34"/>
  <c r="B78" i="34"/>
  <c r="D78" i="34"/>
  <c r="E78" i="34"/>
  <c r="F78" i="34"/>
  <c r="G78" i="34"/>
  <c r="H78" i="34"/>
  <c r="A79" i="34"/>
  <c r="B79" i="34"/>
  <c r="D79" i="34"/>
  <c r="E79" i="34"/>
  <c r="F79" i="34"/>
  <c r="G79" i="34"/>
  <c r="H79" i="34"/>
  <c r="A80" i="34"/>
  <c r="B80" i="34"/>
  <c r="D80" i="34"/>
  <c r="E80" i="34"/>
  <c r="F80" i="34"/>
  <c r="G80" i="34"/>
  <c r="H80" i="34"/>
  <c r="A81" i="34"/>
  <c r="B81" i="34"/>
  <c r="D81" i="34"/>
  <c r="E81" i="34"/>
  <c r="F81" i="34"/>
  <c r="G81" i="34"/>
  <c r="H81" i="34"/>
  <c r="A82" i="34"/>
  <c r="B82" i="34"/>
  <c r="D82" i="34"/>
  <c r="E82" i="34"/>
  <c r="F82" i="34"/>
  <c r="G82" i="34"/>
  <c r="H82" i="34"/>
  <c r="A83" i="34"/>
  <c r="B83" i="34"/>
  <c r="D83" i="34"/>
  <c r="E83" i="34"/>
  <c r="F83" i="34"/>
  <c r="G83" i="34"/>
  <c r="H83" i="34"/>
  <c r="A84" i="34"/>
  <c r="B84" i="34"/>
  <c r="D84" i="34"/>
  <c r="E84" i="34"/>
  <c r="F84" i="34"/>
  <c r="G84" i="34"/>
  <c r="H84" i="34"/>
  <c r="A85" i="34"/>
  <c r="B85" i="34"/>
  <c r="D85" i="34"/>
  <c r="E85" i="34"/>
  <c r="F85" i="34"/>
  <c r="G85" i="34"/>
  <c r="H85" i="34"/>
  <c r="A86" i="34"/>
  <c r="B86" i="34"/>
  <c r="D86" i="34"/>
  <c r="E86" i="34"/>
  <c r="F86" i="34"/>
  <c r="G86" i="34"/>
  <c r="H86" i="34"/>
  <c r="A87" i="34"/>
  <c r="B87" i="34"/>
  <c r="D87" i="34"/>
  <c r="E87" i="34"/>
  <c r="F87" i="34"/>
  <c r="G87" i="34"/>
  <c r="H87" i="34"/>
  <c r="A88" i="34"/>
  <c r="B88" i="34"/>
  <c r="D88" i="34"/>
  <c r="E88" i="34"/>
  <c r="F88" i="34"/>
  <c r="G88" i="34"/>
  <c r="H88" i="34"/>
  <c r="A89" i="34"/>
  <c r="B89" i="34"/>
  <c r="D89" i="34"/>
  <c r="E89" i="34"/>
  <c r="F89" i="34"/>
  <c r="G89" i="34"/>
  <c r="H89" i="34"/>
  <c r="A90" i="34"/>
  <c r="B90" i="34"/>
  <c r="D90" i="34"/>
  <c r="E90" i="34"/>
  <c r="F90" i="34"/>
  <c r="G90" i="34"/>
  <c r="H90" i="34"/>
  <c r="A91" i="34"/>
  <c r="B91" i="34"/>
  <c r="D91" i="34"/>
  <c r="E91" i="34"/>
  <c r="F91" i="34"/>
  <c r="G91" i="34"/>
  <c r="H91" i="34"/>
  <c r="A92" i="34"/>
  <c r="B92" i="34"/>
  <c r="D92" i="34"/>
  <c r="E92" i="34"/>
  <c r="F92" i="34"/>
  <c r="G92" i="34"/>
  <c r="H92" i="34"/>
  <c r="A93" i="34"/>
  <c r="B93" i="34"/>
  <c r="D93" i="34"/>
  <c r="E93" i="34"/>
  <c r="F93" i="34"/>
  <c r="G93" i="34"/>
  <c r="H93" i="34"/>
  <c r="A94" i="34"/>
  <c r="B94" i="34"/>
  <c r="D94" i="34"/>
  <c r="E94" i="34"/>
  <c r="F94" i="34"/>
  <c r="G94" i="34"/>
  <c r="H94" i="34"/>
  <c r="A95" i="34"/>
  <c r="B95" i="34"/>
  <c r="D95" i="34"/>
  <c r="E95" i="34"/>
  <c r="F95" i="34"/>
  <c r="G95" i="34"/>
  <c r="H95" i="34"/>
  <c r="A96" i="34"/>
  <c r="B96" i="34"/>
  <c r="D96" i="34"/>
  <c r="E96" i="34"/>
  <c r="F96" i="34"/>
  <c r="G96" i="34"/>
  <c r="H96" i="34"/>
  <c r="A97" i="34"/>
  <c r="B97" i="34"/>
  <c r="D97" i="34"/>
  <c r="E97" i="34"/>
  <c r="F97" i="34"/>
  <c r="G97" i="34"/>
  <c r="H97" i="34"/>
  <c r="A98" i="34"/>
  <c r="B98" i="34"/>
  <c r="D98" i="34"/>
  <c r="E98" i="34"/>
  <c r="F98" i="34"/>
  <c r="G98" i="34"/>
  <c r="H98" i="34"/>
  <c r="A99" i="34"/>
  <c r="B99" i="34"/>
  <c r="D99" i="34"/>
  <c r="E99" i="34"/>
  <c r="F99" i="34"/>
  <c r="G99" i="34"/>
  <c r="H99" i="34"/>
  <c r="A100" i="34"/>
  <c r="B100" i="34"/>
  <c r="D100" i="34"/>
  <c r="E100" i="34"/>
  <c r="F100" i="34"/>
  <c r="G100" i="34"/>
  <c r="H100" i="34"/>
  <c r="A101" i="34"/>
  <c r="B101" i="34"/>
  <c r="D101" i="34"/>
  <c r="E101" i="34"/>
  <c r="F101" i="34"/>
  <c r="G101" i="34"/>
  <c r="H101" i="34"/>
  <c r="A102" i="34"/>
  <c r="B102" i="34"/>
  <c r="D102" i="34"/>
  <c r="E102" i="34"/>
  <c r="F102" i="34"/>
  <c r="G102" i="34"/>
  <c r="H102" i="34"/>
  <c r="A103" i="34"/>
  <c r="B103" i="34"/>
  <c r="D103" i="34"/>
  <c r="E103" i="34"/>
  <c r="F103" i="34"/>
  <c r="G103" i="34"/>
  <c r="H103" i="34"/>
  <c r="A104" i="34"/>
  <c r="B104" i="34"/>
  <c r="D104" i="34"/>
  <c r="E104" i="34"/>
  <c r="F104" i="34"/>
  <c r="G104" i="34"/>
  <c r="H104" i="34"/>
  <c r="A105" i="34"/>
  <c r="B105" i="34"/>
  <c r="D105" i="34"/>
  <c r="E105" i="34"/>
  <c r="F105" i="34"/>
  <c r="G105" i="34"/>
  <c r="H105" i="34"/>
  <c r="A106" i="34"/>
  <c r="B106" i="34"/>
  <c r="D106" i="34"/>
  <c r="E106" i="34"/>
  <c r="F106" i="34"/>
  <c r="G106" i="34"/>
  <c r="H106" i="34"/>
  <c r="A107" i="34"/>
  <c r="B107" i="34"/>
  <c r="D107" i="34"/>
  <c r="E107" i="34"/>
  <c r="F107" i="34"/>
  <c r="G107" i="34"/>
  <c r="H107" i="34"/>
  <c r="A108" i="34"/>
  <c r="B108" i="34"/>
  <c r="D108" i="34"/>
  <c r="E108" i="34"/>
  <c r="F108" i="34"/>
  <c r="G108" i="34"/>
  <c r="H108" i="34"/>
  <c r="A109" i="34"/>
  <c r="B109" i="34"/>
  <c r="D109" i="34"/>
  <c r="E109" i="34"/>
  <c r="F109" i="34"/>
  <c r="G109" i="34"/>
  <c r="H109" i="34"/>
  <c r="A110" i="34"/>
  <c r="B110" i="34"/>
  <c r="D110" i="34"/>
  <c r="E110" i="34"/>
  <c r="F110" i="34"/>
  <c r="G110" i="34"/>
  <c r="H110" i="34"/>
  <c r="A111" i="34"/>
  <c r="B111" i="34"/>
  <c r="D111" i="34"/>
  <c r="E111" i="34"/>
  <c r="F111" i="34"/>
  <c r="G111" i="34"/>
  <c r="H111" i="34"/>
  <c r="A112" i="34"/>
  <c r="B112" i="34"/>
  <c r="D112" i="34"/>
  <c r="E112" i="34"/>
  <c r="F112" i="34"/>
  <c r="G112" i="34"/>
  <c r="H112" i="34"/>
  <c r="A113" i="34"/>
  <c r="B113" i="34"/>
  <c r="D113" i="34"/>
  <c r="E113" i="34"/>
  <c r="F113" i="34"/>
  <c r="G113" i="34"/>
  <c r="H113" i="34"/>
  <c r="A114" i="34"/>
  <c r="B114" i="34"/>
  <c r="D114" i="34"/>
  <c r="E114" i="34"/>
  <c r="F114" i="34"/>
  <c r="G114" i="34"/>
  <c r="H114" i="34"/>
  <c r="A115" i="34"/>
  <c r="B115" i="34"/>
  <c r="D115" i="34"/>
  <c r="E115" i="34"/>
  <c r="F115" i="34"/>
  <c r="G115" i="34"/>
  <c r="H115" i="34"/>
  <c r="A116" i="34"/>
  <c r="B116" i="34"/>
  <c r="D116" i="34"/>
  <c r="E116" i="34"/>
  <c r="F116" i="34"/>
  <c r="G116" i="34"/>
  <c r="H116" i="34"/>
  <c r="A117" i="34"/>
  <c r="B117" i="34"/>
  <c r="D117" i="34"/>
  <c r="E117" i="34"/>
  <c r="F117" i="34"/>
  <c r="G117" i="34"/>
  <c r="H117" i="34"/>
  <c r="A118" i="34"/>
  <c r="B118" i="34"/>
  <c r="D118" i="34"/>
  <c r="E118" i="34"/>
  <c r="F118" i="34"/>
  <c r="G118" i="34"/>
  <c r="H118" i="34"/>
  <c r="A119" i="34"/>
  <c r="B119" i="34"/>
  <c r="D119" i="34"/>
  <c r="E119" i="34"/>
  <c r="F119" i="34"/>
  <c r="G119" i="34"/>
  <c r="H119" i="34"/>
  <c r="A120" i="34"/>
  <c r="B120" i="34"/>
  <c r="D120" i="34"/>
  <c r="E120" i="34"/>
  <c r="F120" i="34"/>
  <c r="G120" i="34"/>
  <c r="H120" i="34"/>
  <c r="A121" i="34"/>
  <c r="B121" i="34"/>
  <c r="D121" i="34"/>
  <c r="E121" i="34"/>
  <c r="F121" i="34"/>
  <c r="G121" i="34"/>
  <c r="H121" i="34"/>
  <c r="A122" i="34"/>
  <c r="B122" i="34"/>
  <c r="D122" i="34"/>
  <c r="E122" i="34"/>
  <c r="F122" i="34"/>
  <c r="G122" i="34"/>
  <c r="H122" i="34"/>
  <c r="A123" i="34"/>
  <c r="B123" i="34"/>
  <c r="D123" i="34"/>
  <c r="E123" i="34"/>
  <c r="F123" i="34"/>
  <c r="G123" i="34"/>
  <c r="H123" i="34"/>
  <c r="A124" i="34"/>
  <c r="B124" i="34"/>
  <c r="D124" i="34"/>
  <c r="E124" i="34"/>
  <c r="F124" i="34"/>
  <c r="G124" i="34"/>
  <c r="H124" i="34"/>
  <c r="A125" i="34"/>
  <c r="B125" i="34"/>
  <c r="D125" i="34"/>
  <c r="E125" i="34"/>
  <c r="F125" i="34"/>
  <c r="G125" i="34"/>
  <c r="H125" i="34"/>
  <c r="A126" i="34"/>
  <c r="B126" i="34"/>
  <c r="D126" i="34"/>
  <c r="E126" i="34"/>
  <c r="F126" i="34"/>
  <c r="G126" i="34"/>
  <c r="H126" i="34"/>
  <c r="A127" i="34"/>
  <c r="B127" i="34"/>
  <c r="D127" i="34"/>
  <c r="E127" i="34"/>
  <c r="F127" i="34"/>
  <c r="G127" i="34"/>
  <c r="H127" i="34"/>
  <c r="A128" i="34"/>
  <c r="B128" i="34"/>
  <c r="D128" i="34"/>
  <c r="E128" i="34"/>
  <c r="F128" i="34"/>
  <c r="G128" i="34"/>
  <c r="H128" i="34"/>
  <c r="A129" i="34"/>
  <c r="B129" i="34"/>
  <c r="D129" i="34"/>
  <c r="E129" i="34"/>
  <c r="F129" i="34"/>
  <c r="G129" i="34"/>
  <c r="H129" i="34"/>
  <c r="A130" i="34"/>
  <c r="B130" i="34"/>
  <c r="D130" i="34"/>
  <c r="E130" i="34"/>
  <c r="F130" i="34"/>
  <c r="G130" i="34"/>
  <c r="H130" i="34"/>
  <c r="A131" i="34"/>
  <c r="B131" i="34"/>
  <c r="D131" i="34"/>
  <c r="E131" i="34"/>
  <c r="F131" i="34"/>
  <c r="G131" i="34"/>
  <c r="H131" i="34"/>
  <c r="A132" i="34"/>
  <c r="B132" i="34"/>
  <c r="D132" i="34"/>
  <c r="E132" i="34"/>
  <c r="F132" i="34"/>
  <c r="G132" i="34"/>
  <c r="H132" i="34"/>
  <c r="A133" i="34"/>
  <c r="B133" i="34"/>
  <c r="D133" i="34"/>
  <c r="E133" i="34"/>
  <c r="F133" i="34"/>
  <c r="G133" i="34"/>
  <c r="H133" i="34"/>
  <c r="A134" i="34"/>
  <c r="B134" i="34"/>
  <c r="D134" i="34"/>
  <c r="E134" i="34"/>
  <c r="F134" i="34"/>
  <c r="G134" i="34"/>
  <c r="H134" i="34"/>
  <c r="A135" i="34"/>
  <c r="B135" i="34"/>
  <c r="D135" i="34"/>
  <c r="E135" i="34"/>
  <c r="F135" i="34"/>
  <c r="G135" i="34"/>
  <c r="H135" i="34"/>
  <c r="A136" i="34"/>
  <c r="B136" i="34"/>
  <c r="D136" i="34"/>
  <c r="E136" i="34"/>
  <c r="F136" i="34"/>
  <c r="G136" i="34"/>
  <c r="H136" i="34"/>
  <c r="K50" i="40" l="1"/>
  <c r="F50" i="40"/>
  <c r="J7" i="40"/>
  <c r="D7" i="40"/>
  <c r="J6" i="40"/>
  <c r="E6" i="40"/>
  <c r="K5" i="40"/>
  <c r="J4" i="40"/>
  <c r="J3" i="40"/>
  <c r="C3" i="40"/>
  <c r="M24" i="32"/>
  <c r="M25" i="32"/>
  <c r="G22" i="29"/>
  <c r="O20" i="29"/>
  <c r="M23" i="32"/>
  <c r="O19" i="29"/>
  <c r="M22" i="32"/>
  <c r="O18" i="29"/>
  <c r="M21" i="32"/>
  <c r="O17" i="29"/>
  <c r="M20" i="32"/>
  <c r="O16" i="29"/>
  <c r="M19" i="32"/>
  <c r="O15" i="29"/>
  <c r="M18" i="32"/>
  <c r="O14" i="29"/>
  <c r="M17" i="32"/>
  <c r="O13" i="29"/>
  <c r="E47" i="36" l="1"/>
  <c r="D6" i="36"/>
  <c r="F40" i="36"/>
  <c r="F39" i="36"/>
  <c r="F38" i="36"/>
  <c r="F37" i="36"/>
  <c r="F33" i="36"/>
  <c r="F30" i="36"/>
  <c r="F26" i="36"/>
  <c r="F25" i="36"/>
  <c r="F22" i="36"/>
  <c r="F21" i="36"/>
  <c r="C20" i="36"/>
  <c r="F17" i="36"/>
  <c r="F16" i="36"/>
  <c r="F15" i="36"/>
  <c r="F14" i="36"/>
  <c r="F13" i="36"/>
  <c r="F12" i="36"/>
  <c r="F9" i="36"/>
  <c r="BW102" i="1"/>
  <c r="BV102" i="1"/>
  <c r="BS102" i="1"/>
  <c r="BM102" i="1"/>
  <c r="BL102" i="1"/>
  <c r="BF102" i="1"/>
  <c r="AQ102" i="1"/>
  <c r="AO102" i="1"/>
  <c r="AP102" i="1" s="1"/>
  <c r="AI102" i="1"/>
  <c r="G102" i="1"/>
  <c r="C103" i="34" s="1"/>
  <c r="BS13" i="1" l="1"/>
  <c r="BS14" i="1"/>
  <c r="BS15" i="1"/>
  <c r="BV14" i="1" l="1"/>
  <c r="BW14" i="1" s="1"/>
  <c r="BM14" i="1"/>
  <c r="BL14" i="1"/>
  <c r="AI96" i="1" l="1"/>
  <c r="AI97" i="1"/>
  <c r="AI98" i="1"/>
  <c r="AI99" i="1"/>
  <c r="AI100" i="1"/>
  <c r="AI101" i="1"/>
  <c r="AI103" i="1"/>
  <c r="AI104" i="1"/>
  <c r="AI105" i="1"/>
  <c r="AI106" i="1"/>
  <c r="AI107" i="1"/>
  <c r="AI108" i="1"/>
  <c r="N18" i="38" l="1"/>
  <c r="N17" i="38"/>
  <c r="K18" i="38"/>
  <c r="K17" i="38"/>
  <c r="T16" i="22"/>
  <c r="R16" i="22"/>
  <c r="T15" i="22"/>
  <c r="R15" i="22"/>
  <c r="K16" i="38" l="1"/>
  <c r="K15" i="38"/>
  <c r="K14" i="38"/>
  <c r="Q21" i="38"/>
  <c r="I21" i="38"/>
  <c r="L8" i="38"/>
  <c r="G8" i="38"/>
  <c r="C8" i="38"/>
  <c r="C5" i="38"/>
  <c r="R3" i="38"/>
  <c r="P3" i="38"/>
  <c r="J3" i="38"/>
  <c r="P2" i="38"/>
  <c r="O18" i="35"/>
  <c r="AO4" i="1"/>
  <c r="AP4" i="1" s="1"/>
  <c r="AQ4" i="1"/>
  <c r="AO5" i="1"/>
  <c r="AP5" i="1" s="1"/>
  <c r="AQ5" i="1"/>
  <c r="AO6" i="1"/>
  <c r="AP6" i="1" s="1"/>
  <c r="AQ6" i="1" s="1"/>
  <c r="AO7" i="1"/>
  <c r="AP7" i="1" s="1"/>
  <c r="AQ7" i="1" s="1"/>
  <c r="AO8" i="1"/>
  <c r="AP8" i="1" s="1"/>
  <c r="AQ8" i="1"/>
  <c r="AO9" i="1"/>
  <c r="AP9" i="1" s="1"/>
  <c r="AQ9" i="1"/>
  <c r="AO10" i="1"/>
  <c r="AP10" i="1" s="1"/>
  <c r="AQ10" i="1"/>
  <c r="AO11" i="1"/>
  <c r="AP11" i="1" s="1"/>
  <c r="AQ11" i="1"/>
  <c r="AO12" i="1"/>
  <c r="AP12" i="1" s="1"/>
  <c r="AQ12" i="1" s="1"/>
  <c r="AO13" i="1"/>
  <c r="AP13" i="1" s="1"/>
  <c r="AQ13" i="1"/>
  <c r="AO14" i="1"/>
  <c r="AP14" i="1" s="1"/>
  <c r="AQ14" i="1"/>
  <c r="AO15" i="1"/>
  <c r="AP15" i="1" s="1"/>
  <c r="AQ15" i="1"/>
  <c r="AO16" i="1"/>
  <c r="AP16" i="1" s="1"/>
  <c r="AQ16" i="1"/>
  <c r="AO17" i="1"/>
  <c r="AP17" i="1" s="1"/>
  <c r="AQ17" i="1"/>
  <c r="AO18" i="1"/>
  <c r="AP18" i="1" s="1"/>
  <c r="AQ18" i="1"/>
  <c r="AO19" i="1"/>
  <c r="AP19" i="1" s="1"/>
  <c r="AQ19" i="1"/>
  <c r="AO20" i="1"/>
  <c r="AP20" i="1" s="1"/>
  <c r="AQ20" i="1"/>
  <c r="AO21" i="1"/>
  <c r="AP21" i="1" s="1"/>
  <c r="AQ21" i="1"/>
  <c r="AO22" i="1"/>
  <c r="AP22" i="1" s="1"/>
  <c r="AQ22" i="1"/>
  <c r="AO23" i="1"/>
  <c r="AP23" i="1" s="1"/>
  <c r="AQ23" i="1"/>
  <c r="AO24" i="1"/>
  <c r="AP24" i="1" s="1"/>
  <c r="AQ24" i="1"/>
  <c r="AO25" i="1"/>
  <c r="AP25" i="1" s="1"/>
  <c r="AQ25" i="1"/>
  <c r="AO26" i="1"/>
  <c r="AP26" i="1" s="1"/>
  <c r="AQ26" i="1" s="1"/>
  <c r="AO27" i="1"/>
  <c r="AP27" i="1" s="1"/>
  <c r="AQ27" i="1"/>
  <c r="AO28" i="1"/>
  <c r="AP28" i="1" s="1"/>
  <c r="AQ28" i="1"/>
  <c r="AO29" i="1"/>
  <c r="AP29" i="1" s="1"/>
  <c r="AQ29" i="1"/>
  <c r="AO30" i="1"/>
  <c r="AP30" i="1" s="1"/>
  <c r="AQ30" i="1"/>
  <c r="AO31" i="1"/>
  <c r="AP31" i="1" s="1"/>
  <c r="AQ31" i="1"/>
  <c r="AO32" i="1"/>
  <c r="AP32" i="1" s="1"/>
  <c r="AQ32" i="1"/>
  <c r="AO33" i="1"/>
  <c r="AP33" i="1" s="1"/>
  <c r="AQ33" i="1"/>
  <c r="AO34" i="1"/>
  <c r="AP34" i="1" s="1"/>
  <c r="AQ34" i="1" s="1"/>
  <c r="AO35" i="1"/>
  <c r="AP35" i="1" s="1"/>
  <c r="AQ35" i="1"/>
  <c r="AO36" i="1"/>
  <c r="AP36" i="1" s="1"/>
  <c r="AQ36" i="1"/>
  <c r="AO37" i="1"/>
  <c r="AP37" i="1" s="1"/>
  <c r="AQ37" i="1"/>
  <c r="AO38" i="1"/>
  <c r="AP38" i="1" s="1"/>
  <c r="AQ38" i="1"/>
  <c r="AO39" i="1"/>
  <c r="AP39" i="1" s="1"/>
  <c r="AQ39" i="1"/>
  <c r="AO40" i="1"/>
  <c r="AP40" i="1" s="1"/>
  <c r="AQ40" i="1"/>
  <c r="AO41" i="1"/>
  <c r="AP41" i="1" s="1"/>
  <c r="AQ41" i="1"/>
  <c r="AO42" i="1"/>
  <c r="AP42" i="1" s="1"/>
  <c r="AQ42" i="1" s="1"/>
  <c r="G64" i="1" l="1"/>
  <c r="C65" i="34" s="1"/>
  <c r="S18" i="29" l="1"/>
  <c r="S16" i="29"/>
  <c r="S15" i="29"/>
  <c r="S14" i="29"/>
  <c r="AI64" i="1" l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D25" i="22" l="1"/>
  <c r="R18" i="22"/>
  <c r="I3" i="36"/>
  <c r="B3" i="36"/>
  <c r="C7" i="36"/>
  <c r="I7" i="36"/>
  <c r="I6" i="36"/>
  <c r="J5" i="36"/>
  <c r="I4" i="36"/>
  <c r="P2" i="24"/>
  <c r="J47" i="36"/>
  <c r="G13" i="32" l="1"/>
  <c r="R11" i="22"/>
  <c r="G12" i="32"/>
  <c r="K15" i="31"/>
  <c r="G11" i="32"/>
  <c r="K14" i="31"/>
  <c r="G23" i="29"/>
  <c r="J17" i="29"/>
  <c r="D16" i="29"/>
  <c r="Q2" i="22"/>
  <c r="BV4" i="1"/>
  <c r="BW4" i="1"/>
  <c r="BV5" i="1"/>
  <c r="BW5" i="1"/>
  <c r="BV6" i="1"/>
  <c r="BW6" i="1" s="1"/>
  <c r="BV7" i="1"/>
  <c r="BW7" i="1"/>
  <c r="BV8" i="1"/>
  <c r="BW8" i="1" s="1"/>
  <c r="BV9" i="1"/>
  <c r="BW9" i="1"/>
  <c r="BV10" i="1"/>
  <c r="BW10" i="1"/>
  <c r="BV11" i="1"/>
  <c r="BW11" i="1" s="1"/>
  <c r="BV12" i="1"/>
  <c r="BW12" i="1"/>
  <c r="BV13" i="1"/>
  <c r="BW13" i="1"/>
  <c r="BV15" i="1"/>
  <c r="BW15" i="1"/>
  <c r="BV16" i="1"/>
  <c r="BW16" i="1"/>
  <c r="BV17" i="1"/>
  <c r="BW17" i="1"/>
  <c r="BV18" i="1"/>
  <c r="BW18" i="1"/>
  <c r="BV19" i="1"/>
  <c r="BW19" i="1"/>
  <c r="BV20" i="1"/>
  <c r="BW20" i="1"/>
  <c r="BV21" i="1"/>
  <c r="BW21" i="1"/>
  <c r="BV22" i="1"/>
  <c r="BW22" i="1"/>
  <c r="BV23" i="1"/>
  <c r="BW23" i="1"/>
  <c r="BV24" i="1"/>
  <c r="BW24" i="1"/>
  <c r="BV25" i="1"/>
  <c r="BW25" i="1"/>
  <c r="BV26" i="1"/>
  <c r="BW26" i="1"/>
  <c r="BV27" i="1"/>
  <c r="BW27" i="1"/>
  <c r="BV28" i="1"/>
  <c r="BW28" i="1"/>
  <c r="BV29" i="1"/>
  <c r="BW29" i="1"/>
  <c r="BV30" i="1"/>
  <c r="BW30" i="1"/>
  <c r="BV31" i="1"/>
  <c r="BW31" i="1"/>
  <c r="BV32" i="1"/>
  <c r="BW32" i="1" s="1"/>
  <c r="BV33" i="1"/>
  <c r="BW33" i="1"/>
  <c r="BV34" i="1"/>
  <c r="BW34" i="1"/>
  <c r="BV35" i="1"/>
  <c r="BW35" i="1"/>
  <c r="BV36" i="1"/>
  <c r="BW36" i="1"/>
  <c r="BV37" i="1"/>
  <c r="BW37" i="1"/>
  <c r="BV38" i="1"/>
  <c r="BW38" i="1"/>
  <c r="BV39" i="1"/>
  <c r="BW39" i="1"/>
  <c r="BV40" i="1"/>
  <c r="BW40" i="1"/>
  <c r="BV41" i="1"/>
  <c r="BW41" i="1"/>
  <c r="BV42" i="1"/>
  <c r="BW42" i="1"/>
  <c r="BV43" i="1"/>
  <c r="BW43" i="1"/>
  <c r="BV44" i="1"/>
  <c r="BW44" i="1"/>
  <c r="BV45" i="1"/>
  <c r="BW45" i="1"/>
  <c r="BV46" i="1"/>
  <c r="BW46" i="1"/>
  <c r="BV47" i="1"/>
  <c r="BW47" i="1"/>
  <c r="BV48" i="1"/>
  <c r="BW48" i="1"/>
  <c r="BV49" i="1"/>
  <c r="BW49" i="1"/>
  <c r="BV50" i="1"/>
  <c r="BW50" i="1"/>
  <c r="BV51" i="1"/>
  <c r="BW51" i="1"/>
  <c r="BV52" i="1"/>
  <c r="BW52" i="1"/>
  <c r="BV53" i="1"/>
  <c r="BW53" i="1"/>
  <c r="BV54" i="1"/>
  <c r="BW54" i="1"/>
  <c r="BV55" i="1"/>
  <c r="BW55" i="1"/>
  <c r="BV56" i="1"/>
  <c r="BW56" i="1"/>
  <c r="BV57" i="1"/>
  <c r="BW57" i="1"/>
  <c r="BV58" i="1"/>
  <c r="BW58" i="1"/>
  <c r="BV59" i="1"/>
  <c r="BW59" i="1"/>
  <c r="BV60" i="1"/>
  <c r="BW60" i="1"/>
  <c r="BV61" i="1"/>
  <c r="BW61" i="1"/>
  <c r="BV62" i="1"/>
  <c r="BW62" i="1"/>
  <c r="BV63" i="1"/>
  <c r="BW63" i="1"/>
  <c r="BV64" i="1"/>
  <c r="BW64" i="1"/>
  <c r="BV65" i="1"/>
  <c r="BW65" i="1"/>
  <c r="BV66" i="1"/>
  <c r="BW66" i="1"/>
  <c r="BV67" i="1"/>
  <c r="BW67" i="1"/>
  <c r="BV68" i="1"/>
  <c r="BW68" i="1"/>
  <c r="BV69" i="1"/>
  <c r="BW69" i="1"/>
  <c r="BV70" i="1"/>
  <c r="BW70" i="1"/>
  <c r="BV71" i="1"/>
  <c r="BW71" i="1"/>
  <c r="BV72" i="1"/>
  <c r="BW72" i="1"/>
  <c r="BV73" i="1"/>
  <c r="BW73" i="1"/>
  <c r="BV74" i="1"/>
  <c r="BW74" i="1"/>
  <c r="BV75" i="1"/>
  <c r="BW75" i="1"/>
  <c r="BV76" i="1"/>
  <c r="BW76" i="1"/>
  <c r="BV77" i="1"/>
  <c r="BW77" i="1"/>
  <c r="BV78" i="1"/>
  <c r="BW78" i="1"/>
  <c r="BV79" i="1"/>
  <c r="BW79" i="1"/>
  <c r="BV80" i="1"/>
  <c r="BW80" i="1"/>
  <c r="BV81" i="1"/>
  <c r="BW81" i="1"/>
  <c r="BV82" i="1"/>
  <c r="BW82" i="1"/>
  <c r="BV83" i="1"/>
  <c r="BW83" i="1"/>
  <c r="BV84" i="1"/>
  <c r="BW84" i="1"/>
  <c r="BV85" i="1"/>
  <c r="BW85" i="1"/>
  <c r="BV86" i="1"/>
  <c r="BW86" i="1"/>
  <c r="BV87" i="1"/>
  <c r="BW87" i="1"/>
  <c r="BV88" i="1"/>
  <c r="BW88" i="1"/>
  <c r="BV89" i="1"/>
  <c r="BW89" i="1"/>
  <c r="BV90" i="1"/>
  <c r="BW90" i="1"/>
  <c r="BV91" i="1"/>
  <c r="BW91" i="1"/>
  <c r="BV92" i="1"/>
  <c r="BW92" i="1"/>
  <c r="BV93" i="1"/>
  <c r="BW93" i="1"/>
  <c r="BV94" i="1"/>
  <c r="BW94" i="1"/>
  <c r="BV95" i="1"/>
  <c r="BW95" i="1"/>
  <c r="BV96" i="1"/>
  <c r="BW96" i="1"/>
  <c r="BV97" i="1"/>
  <c r="BW97" i="1"/>
  <c r="BV98" i="1"/>
  <c r="BW98" i="1"/>
  <c r="BV99" i="1"/>
  <c r="BW99" i="1"/>
  <c r="BV100" i="1"/>
  <c r="BW100" i="1"/>
  <c r="BV101" i="1"/>
  <c r="BW101" i="1"/>
  <c r="BV103" i="1"/>
  <c r="BW103" i="1"/>
  <c r="BV104" i="1"/>
  <c r="BW104" i="1"/>
  <c r="BV105" i="1"/>
  <c r="BW105" i="1"/>
  <c r="BV106" i="1"/>
  <c r="BW106" i="1"/>
  <c r="BV107" i="1"/>
  <c r="BW107" i="1"/>
  <c r="BV108" i="1"/>
  <c r="BW108" i="1"/>
  <c r="BV109" i="1"/>
  <c r="BW109" i="1"/>
  <c r="BV110" i="1"/>
  <c r="BW110" i="1"/>
  <c r="BV111" i="1"/>
  <c r="BW111" i="1"/>
  <c r="BV112" i="1"/>
  <c r="BW112" i="1"/>
  <c r="BV113" i="1"/>
  <c r="BW113" i="1"/>
  <c r="BV114" i="1"/>
  <c r="BW114" i="1"/>
  <c r="BV115" i="1"/>
  <c r="BW115" i="1"/>
  <c r="BV116" i="1"/>
  <c r="BW116" i="1"/>
  <c r="BV117" i="1"/>
  <c r="BW117" i="1"/>
  <c r="BV118" i="1"/>
  <c r="BW118" i="1"/>
  <c r="BV119" i="1"/>
  <c r="BW119" i="1"/>
  <c r="BV120" i="1"/>
  <c r="BW120" i="1"/>
  <c r="BV121" i="1"/>
  <c r="BW121" i="1"/>
  <c r="BV122" i="1"/>
  <c r="BW122" i="1"/>
  <c r="BV123" i="1"/>
  <c r="BW123" i="1"/>
  <c r="BV124" i="1"/>
  <c r="BW124" i="1"/>
  <c r="BV125" i="1"/>
  <c r="BW125" i="1"/>
  <c r="BV126" i="1"/>
  <c r="BW126" i="1"/>
  <c r="BV127" i="1"/>
  <c r="BW127" i="1"/>
  <c r="BV128" i="1"/>
  <c r="BW128" i="1"/>
  <c r="BV129" i="1"/>
  <c r="BW129" i="1"/>
  <c r="BV130" i="1"/>
  <c r="BW130" i="1"/>
  <c r="BV131" i="1"/>
  <c r="BW131" i="1"/>
  <c r="BV132" i="1"/>
  <c r="BW132" i="1"/>
  <c r="BV133" i="1"/>
  <c r="BW133" i="1"/>
  <c r="BV134" i="1"/>
  <c r="BW134" i="1"/>
  <c r="BV135" i="1"/>
  <c r="BW135" i="1"/>
  <c r="BV136" i="1"/>
  <c r="BW136" i="1"/>
  <c r="BV137" i="1"/>
  <c r="BW137" i="1"/>
  <c r="BV138" i="1"/>
  <c r="BW138" i="1"/>
  <c r="BV139" i="1"/>
  <c r="BW139" i="1"/>
  <c r="BV140" i="1"/>
  <c r="BW140" i="1"/>
  <c r="BV141" i="1"/>
  <c r="BW141" i="1"/>
  <c r="BV142" i="1"/>
  <c r="BW142" i="1"/>
  <c r="BV143" i="1"/>
  <c r="BW143" i="1"/>
  <c r="BV144" i="1"/>
  <c r="BW144" i="1"/>
  <c r="BV145" i="1"/>
  <c r="BW145" i="1"/>
  <c r="BV146" i="1"/>
  <c r="BW146" i="1"/>
  <c r="BV147" i="1"/>
  <c r="BW147" i="1"/>
  <c r="BV148" i="1"/>
  <c r="BW148" i="1"/>
  <c r="BV149" i="1"/>
  <c r="BW149" i="1"/>
  <c r="BV150" i="1"/>
  <c r="BW150" i="1"/>
  <c r="BV151" i="1"/>
  <c r="BW151" i="1"/>
  <c r="BV152" i="1"/>
  <c r="BW152" i="1"/>
  <c r="BV153" i="1"/>
  <c r="BW153" i="1"/>
  <c r="BV154" i="1"/>
  <c r="BW154" i="1"/>
  <c r="BV155" i="1"/>
  <c r="BW155" i="1"/>
  <c r="BV156" i="1"/>
  <c r="BW156" i="1"/>
  <c r="BV157" i="1"/>
  <c r="BW157" i="1"/>
  <c r="BV158" i="1"/>
  <c r="BW158" i="1"/>
  <c r="BV159" i="1"/>
  <c r="BW159" i="1"/>
  <c r="BV160" i="1"/>
  <c r="BW160" i="1"/>
  <c r="BV161" i="1"/>
  <c r="BW161" i="1"/>
  <c r="BV162" i="1"/>
  <c r="BW162" i="1"/>
  <c r="BV163" i="1"/>
  <c r="BW163" i="1"/>
  <c r="BV164" i="1"/>
  <c r="BW164" i="1"/>
  <c r="BV165" i="1"/>
  <c r="BW165" i="1"/>
  <c r="BV166" i="1"/>
  <c r="BW166" i="1"/>
  <c r="BV167" i="1"/>
  <c r="BW167" i="1"/>
  <c r="BV168" i="1"/>
  <c r="BW168" i="1"/>
  <c r="BV169" i="1"/>
  <c r="BW169" i="1"/>
  <c r="BV170" i="1"/>
  <c r="BW170" i="1"/>
  <c r="BV171" i="1"/>
  <c r="BW171" i="1"/>
  <c r="BV172" i="1"/>
  <c r="BW172" i="1"/>
  <c r="BV173" i="1"/>
  <c r="BW173" i="1"/>
  <c r="BV174" i="1"/>
  <c r="BW174" i="1"/>
  <c r="BV175" i="1"/>
  <c r="BW175" i="1"/>
  <c r="BV176" i="1"/>
  <c r="BW176" i="1"/>
  <c r="BV177" i="1"/>
  <c r="BW177" i="1"/>
  <c r="BV178" i="1"/>
  <c r="BW178" i="1"/>
  <c r="BV179" i="1"/>
  <c r="BW179" i="1"/>
  <c r="BV180" i="1"/>
  <c r="BW180" i="1"/>
  <c r="BV181" i="1"/>
  <c r="BW181" i="1"/>
  <c r="BV182" i="1"/>
  <c r="BW182" i="1"/>
  <c r="BV183" i="1"/>
  <c r="BW183" i="1"/>
  <c r="BV184" i="1"/>
  <c r="BW184" i="1"/>
  <c r="BV185" i="1"/>
  <c r="BW185" i="1"/>
  <c r="BV186" i="1"/>
  <c r="BW186" i="1"/>
  <c r="BV187" i="1"/>
  <c r="BW187" i="1"/>
  <c r="BV188" i="1"/>
  <c r="BW188" i="1"/>
  <c r="BV189" i="1"/>
  <c r="BW189" i="1"/>
  <c r="BV190" i="1"/>
  <c r="BW190" i="1"/>
  <c r="BV191" i="1"/>
  <c r="BW191" i="1"/>
  <c r="BV192" i="1"/>
  <c r="BW192" i="1"/>
  <c r="BV193" i="1"/>
  <c r="BW193" i="1"/>
  <c r="BV194" i="1"/>
  <c r="BW194" i="1"/>
  <c r="BV195" i="1"/>
  <c r="BW195" i="1"/>
  <c r="BV196" i="1"/>
  <c r="BW196" i="1"/>
  <c r="BV197" i="1"/>
  <c r="BW197" i="1"/>
  <c r="BV198" i="1"/>
  <c r="BW198" i="1"/>
  <c r="BV199" i="1"/>
  <c r="BW199" i="1"/>
  <c r="BV200" i="1"/>
  <c r="BW200" i="1"/>
  <c r="BV201" i="1"/>
  <c r="BW201" i="1"/>
  <c r="BV202" i="1"/>
  <c r="BW202" i="1"/>
  <c r="BV203" i="1"/>
  <c r="BW203" i="1"/>
  <c r="BV204" i="1"/>
  <c r="BW204" i="1"/>
  <c r="BV205" i="1"/>
  <c r="BW205" i="1"/>
  <c r="BV206" i="1"/>
  <c r="BW206" i="1"/>
  <c r="BV207" i="1"/>
  <c r="BW207" i="1"/>
  <c r="BV208" i="1"/>
  <c r="BW208" i="1"/>
  <c r="BV209" i="1"/>
  <c r="BW209" i="1"/>
  <c r="BV210" i="1"/>
  <c r="BW210" i="1"/>
  <c r="BV211" i="1"/>
  <c r="BW211" i="1"/>
  <c r="BV212" i="1"/>
  <c r="BW212" i="1"/>
  <c r="BV213" i="1"/>
  <c r="BW213" i="1"/>
  <c r="BV214" i="1"/>
  <c r="BW214" i="1"/>
  <c r="BV215" i="1"/>
  <c r="BW215" i="1"/>
  <c r="BV216" i="1"/>
  <c r="BW216" i="1"/>
  <c r="BV217" i="1"/>
  <c r="BW217" i="1"/>
  <c r="BV218" i="1"/>
  <c r="BW218" i="1"/>
  <c r="BV219" i="1"/>
  <c r="BW219" i="1"/>
  <c r="BV220" i="1"/>
  <c r="BW220" i="1"/>
  <c r="BV221" i="1"/>
  <c r="BW221" i="1"/>
  <c r="BV222" i="1"/>
  <c r="BW222" i="1"/>
  <c r="BV223" i="1"/>
  <c r="BW223" i="1"/>
  <c r="BV224" i="1"/>
  <c r="BW224" i="1"/>
  <c r="BV225" i="1"/>
  <c r="BW225" i="1"/>
  <c r="BV226" i="1"/>
  <c r="BW226" i="1"/>
  <c r="BV227" i="1"/>
  <c r="BW227" i="1"/>
  <c r="BV228" i="1"/>
  <c r="BW228" i="1"/>
  <c r="BV229" i="1"/>
  <c r="BW229" i="1"/>
  <c r="BV230" i="1"/>
  <c r="BW230" i="1"/>
  <c r="BV231" i="1"/>
  <c r="BW231" i="1"/>
  <c r="BV232" i="1"/>
  <c r="BW232" i="1"/>
  <c r="BV233" i="1"/>
  <c r="BW233" i="1"/>
  <c r="BV234" i="1"/>
  <c r="BW234" i="1"/>
  <c r="BV235" i="1"/>
  <c r="BW235" i="1"/>
  <c r="BV236" i="1"/>
  <c r="BW236" i="1"/>
  <c r="BV237" i="1"/>
  <c r="BW237" i="1"/>
  <c r="BV238" i="1"/>
  <c r="BW238" i="1"/>
  <c r="BV239" i="1"/>
  <c r="BW239" i="1"/>
  <c r="BV240" i="1"/>
  <c r="BW240" i="1"/>
  <c r="BV241" i="1"/>
  <c r="BW241" i="1"/>
  <c r="BV242" i="1"/>
  <c r="BW242" i="1"/>
  <c r="BV243" i="1"/>
  <c r="BW243" i="1"/>
  <c r="BV244" i="1"/>
  <c r="BW244" i="1"/>
  <c r="BV245" i="1"/>
  <c r="BW245" i="1"/>
  <c r="BV246" i="1"/>
  <c r="BW246" i="1"/>
  <c r="BV247" i="1"/>
  <c r="BW247" i="1"/>
  <c r="BV248" i="1"/>
  <c r="BW248" i="1"/>
  <c r="BV249" i="1"/>
  <c r="BW249" i="1"/>
  <c r="BV250" i="1"/>
  <c r="BW250" i="1"/>
  <c r="BV251" i="1"/>
  <c r="BW251" i="1"/>
  <c r="BV252" i="1"/>
  <c r="BW252" i="1"/>
  <c r="BV253" i="1"/>
  <c r="BW253" i="1"/>
  <c r="BV254" i="1"/>
  <c r="BW254" i="1"/>
  <c r="BV255" i="1"/>
  <c r="BW255" i="1"/>
  <c r="BV256" i="1"/>
  <c r="BW256" i="1"/>
  <c r="BV257" i="1"/>
  <c r="BW257" i="1"/>
  <c r="BV258" i="1"/>
  <c r="BW258" i="1"/>
  <c r="BV259" i="1"/>
  <c r="BW259" i="1"/>
  <c r="BV260" i="1"/>
  <c r="BW260" i="1"/>
  <c r="BV261" i="1"/>
  <c r="BW261" i="1"/>
  <c r="BV262" i="1"/>
  <c r="BW262" i="1"/>
  <c r="BV263" i="1"/>
  <c r="BW263" i="1"/>
  <c r="BV264" i="1"/>
  <c r="BW264" i="1"/>
  <c r="BV265" i="1"/>
  <c r="BW265" i="1"/>
  <c r="BV266" i="1"/>
  <c r="BW266" i="1"/>
  <c r="BV267" i="1"/>
  <c r="BW267" i="1"/>
  <c r="BV268" i="1"/>
  <c r="BW268" i="1"/>
  <c r="BV269" i="1"/>
  <c r="BW269" i="1"/>
  <c r="BV270" i="1"/>
  <c r="BW270" i="1"/>
  <c r="BV271" i="1"/>
  <c r="BW271" i="1"/>
  <c r="BV272" i="1"/>
  <c r="BW272" i="1"/>
  <c r="BV273" i="1"/>
  <c r="BW273" i="1"/>
  <c r="BV274" i="1"/>
  <c r="BW274" i="1"/>
  <c r="BV275" i="1"/>
  <c r="BW275" i="1"/>
  <c r="BV276" i="1"/>
  <c r="BW276" i="1"/>
  <c r="BV277" i="1"/>
  <c r="BW277" i="1"/>
  <c r="BV278" i="1"/>
  <c r="BW278" i="1"/>
  <c r="BV279" i="1"/>
  <c r="BW279" i="1"/>
  <c r="BV280" i="1"/>
  <c r="BW280" i="1"/>
  <c r="BV281" i="1"/>
  <c r="BW281" i="1"/>
  <c r="BV282" i="1"/>
  <c r="BW282" i="1"/>
  <c r="BV283" i="1"/>
  <c r="BW283" i="1"/>
  <c r="BV284" i="1"/>
  <c r="BW284" i="1"/>
  <c r="BV285" i="1"/>
  <c r="BW285" i="1"/>
  <c r="BV286" i="1"/>
  <c r="BW286" i="1"/>
  <c r="BV287" i="1"/>
  <c r="BW287" i="1"/>
  <c r="BV288" i="1"/>
  <c r="BW288" i="1"/>
  <c r="BV289" i="1"/>
  <c r="BW289" i="1"/>
  <c r="BV290" i="1"/>
  <c r="BW290" i="1"/>
  <c r="BV291" i="1"/>
  <c r="BW291" i="1"/>
  <c r="BV292" i="1"/>
  <c r="BW292" i="1"/>
  <c r="BV293" i="1"/>
  <c r="BW293" i="1"/>
  <c r="BV294" i="1"/>
  <c r="BW294" i="1"/>
  <c r="BV295" i="1"/>
  <c r="BW295" i="1"/>
  <c r="BV296" i="1"/>
  <c r="BW296" i="1"/>
  <c r="BV297" i="1"/>
  <c r="BW297" i="1"/>
  <c r="BV298" i="1"/>
  <c r="BW298" i="1"/>
  <c r="BV299" i="1"/>
  <c r="BW299" i="1"/>
  <c r="BV300" i="1"/>
  <c r="BW300" i="1"/>
  <c r="BV301" i="1"/>
  <c r="BW301" i="1"/>
  <c r="BV3" i="1"/>
  <c r="BW3" i="1" s="1"/>
  <c r="BS5" i="1"/>
  <c r="BS6" i="1"/>
  <c r="BS7" i="1"/>
  <c r="BS8" i="1"/>
  <c r="BS9" i="1"/>
  <c r="BS10" i="1"/>
  <c r="BS11" i="1"/>
  <c r="BS12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" i="1"/>
  <c r="BL3" i="1" l="1"/>
  <c r="BM4" i="1" l="1"/>
  <c r="BM5" i="1"/>
  <c r="BM6" i="1"/>
  <c r="BM7" i="1"/>
  <c r="BM8" i="1"/>
  <c r="BM9" i="1"/>
  <c r="BM10" i="1"/>
  <c r="BM11" i="1"/>
  <c r="BM12" i="1"/>
  <c r="BM13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3" i="1"/>
  <c r="BL4" i="1"/>
  <c r="BL5" i="1"/>
  <c r="BL12" i="1"/>
  <c r="BL13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AO112" i="1" l="1"/>
  <c r="AP112" i="1" s="1"/>
  <c r="AI112" i="1"/>
  <c r="G112" i="1"/>
  <c r="C113" i="34" s="1"/>
  <c r="AO111" i="1"/>
  <c r="AP111" i="1" s="1"/>
  <c r="AI111" i="1"/>
  <c r="G111" i="1"/>
  <c r="C112" i="34" s="1"/>
  <c r="AO110" i="1"/>
  <c r="AP110" i="1" s="1"/>
  <c r="AI110" i="1"/>
  <c r="G110" i="1"/>
  <c r="C111" i="34" s="1"/>
  <c r="AO109" i="1"/>
  <c r="AP109" i="1" s="1"/>
  <c r="AI109" i="1"/>
  <c r="G109" i="1"/>
  <c r="C110" i="34" s="1"/>
  <c r="AO108" i="1"/>
  <c r="AP108" i="1" s="1"/>
  <c r="G108" i="1"/>
  <c r="C109" i="34" s="1"/>
  <c r="AO107" i="1"/>
  <c r="AP107" i="1" s="1"/>
  <c r="G107" i="1"/>
  <c r="C108" i="34" s="1"/>
  <c r="AO106" i="1"/>
  <c r="AP106" i="1" s="1"/>
  <c r="G106" i="1"/>
  <c r="C107" i="34" s="1"/>
  <c r="AO105" i="1"/>
  <c r="AP105" i="1" s="1"/>
  <c r="G105" i="1"/>
  <c r="C106" i="34" s="1"/>
  <c r="AO104" i="1"/>
  <c r="AP104" i="1" s="1"/>
  <c r="G104" i="1"/>
  <c r="C105" i="34" s="1"/>
  <c r="AO103" i="1"/>
  <c r="AP103" i="1" s="1"/>
  <c r="G103" i="1"/>
  <c r="C104" i="34" s="1"/>
  <c r="AO101" i="1"/>
  <c r="AP101" i="1" s="1"/>
  <c r="G101" i="1"/>
  <c r="C102" i="34" s="1"/>
  <c r="AO100" i="1"/>
  <c r="AP100" i="1" s="1"/>
  <c r="G100" i="1"/>
  <c r="C101" i="34" s="1"/>
  <c r="AO99" i="1"/>
  <c r="AP99" i="1" s="1"/>
  <c r="G99" i="1"/>
  <c r="C100" i="34" s="1"/>
  <c r="AO98" i="1"/>
  <c r="AP98" i="1" s="1"/>
  <c r="G98" i="1"/>
  <c r="C99" i="34" s="1"/>
  <c r="AO97" i="1"/>
  <c r="AP97" i="1" s="1"/>
  <c r="G97" i="1"/>
  <c r="C98" i="34" s="1"/>
  <c r="AO96" i="1"/>
  <c r="AP96" i="1" s="1"/>
  <c r="G96" i="1"/>
  <c r="C97" i="34" s="1"/>
  <c r="AO95" i="1"/>
  <c r="AP95" i="1" s="1"/>
  <c r="AI95" i="1"/>
  <c r="G95" i="1"/>
  <c r="C96" i="34" s="1"/>
  <c r="AO94" i="1"/>
  <c r="AP94" i="1" s="1"/>
  <c r="AI94" i="1"/>
  <c r="G94" i="1"/>
  <c r="C95" i="34" s="1"/>
  <c r="AO93" i="1"/>
  <c r="AP93" i="1" s="1"/>
  <c r="AI93" i="1"/>
  <c r="G93" i="1"/>
  <c r="C94" i="34" s="1"/>
  <c r="AO92" i="1"/>
  <c r="AP92" i="1" s="1"/>
  <c r="AI92" i="1"/>
  <c r="G92" i="1"/>
  <c r="C93" i="34" s="1"/>
  <c r="AO91" i="1"/>
  <c r="AP91" i="1" s="1"/>
  <c r="AI91" i="1"/>
  <c r="G91" i="1"/>
  <c r="C92" i="34" s="1"/>
  <c r="AO90" i="1"/>
  <c r="AP90" i="1" s="1"/>
  <c r="AI90" i="1"/>
  <c r="G90" i="1"/>
  <c r="C91" i="34" s="1"/>
  <c r="AO89" i="1"/>
  <c r="AP89" i="1" s="1"/>
  <c r="AI89" i="1"/>
  <c r="G89" i="1"/>
  <c r="C90" i="34" s="1"/>
  <c r="AO88" i="1"/>
  <c r="AP88" i="1" s="1"/>
  <c r="AI88" i="1"/>
  <c r="G88" i="1"/>
  <c r="C89" i="34" s="1"/>
  <c r="AO87" i="1"/>
  <c r="AP87" i="1" s="1"/>
  <c r="AI87" i="1"/>
  <c r="G87" i="1"/>
  <c r="C88" i="34" s="1"/>
  <c r="AO86" i="1"/>
  <c r="AP86" i="1" s="1"/>
  <c r="AI86" i="1"/>
  <c r="G86" i="1"/>
  <c r="C87" i="34" s="1"/>
  <c r="AO85" i="1"/>
  <c r="AP85" i="1" s="1"/>
  <c r="AI85" i="1"/>
  <c r="G85" i="1"/>
  <c r="C86" i="34" s="1"/>
  <c r="AO84" i="1"/>
  <c r="AP84" i="1" s="1"/>
  <c r="AI84" i="1"/>
  <c r="G84" i="1"/>
  <c r="C85" i="34" s="1"/>
  <c r="AO83" i="1"/>
  <c r="AP83" i="1" s="1"/>
  <c r="AI83" i="1"/>
  <c r="G83" i="1"/>
  <c r="C84" i="34" s="1"/>
  <c r="AO82" i="1"/>
  <c r="AP82" i="1" s="1"/>
  <c r="AI82" i="1"/>
  <c r="G82" i="1"/>
  <c r="C83" i="34" s="1"/>
  <c r="AO81" i="1"/>
  <c r="AP81" i="1" s="1"/>
  <c r="AI81" i="1"/>
  <c r="G81" i="1"/>
  <c r="C82" i="34" s="1"/>
  <c r="AO80" i="1"/>
  <c r="AP80" i="1" s="1"/>
  <c r="G80" i="1"/>
  <c r="C81" i="34" s="1"/>
  <c r="AO79" i="1"/>
  <c r="AP79" i="1" s="1"/>
  <c r="G79" i="1"/>
  <c r="C80" i="34" s="1"/>
  <c r="AO78" i="1"/>
  <c r="AP78" i="1" s="1"/>
  <c r="G78" i="1"/>
  <c r="C79" i="34" s="1"/>
  <c r="AO77" i="1"/>
  <c r="AP77" i="1" s="1"/>
  <c r="G77" i="1"/>
  <c r="C78" i="34" s="1"/>
  <c r="AO76" i="1"/>
  <c r="AP76" i="1" s="1"/>
  <c r="G76" i="1"/>
  <c r="C77" i="34" s="1"/>
  <c r="AO75" i="1"/>
  <c r="AP75" i="1" s="1"/>
  <c r="G75" i="1"/>
  <c r="C76" i="34" s="1"/>
  <c r="AO74" i="1"/>
  <c r="AP74" i="1" s="1"/>
  <c r="G74" i="1"/>
  <c r="C75" i="34" s="1"/>
  <c r="AO73" i="1"/>
  <c r="AP73" i="1" s="1"/>
  <c r="G73" i="1"/>
  <c r="C74" i="34" s="1"/>
  <c r="AO72" i="1"/>
  <c r="AP72" i="1" s="1"/>
  <c r="G72" i="1"/>
  <c r="C73" i="34" s="1"/>
  <c r="AO71" i="1"/>
  <c r="AP71" i="1" s="1"/>
  <c r="G71" i="1"/>
  <c r="C72" i="34" s="1"/>
  <c r="AO70" i="1"/>
  <c r="AP70" i="1" s="1"/>
  <c r="G70" i="1"/>
  <c r="C71" i="34" s="1"/>
  <c r="AO69" i="1"/>
  <c r="AP69" i="1" s="1"/>
  <c r="G69" i="1"/>
  <c r="C70" i="34" s="1"/>
  <c r="AO68" i="1"/>
  <c r="AP68" i="1" s="1"/>
  <c r="G68" i="1"/>
  <c r="C69" i="34" s="1"/>
  <c r="AP67" i="1"/>
  <c r="G67" i="1"/>
  <c r="C68" i="34" s="1"/>
  <c r="G66" i="1"/>
  <c r="C67" i="34" s="1"/>
  <c r="AO65" i="1"/>
  <c r="AP65" i="1" s="1"/>
  <c r="G65" i="1"/>
  <c r="C66" i="34" s="1"/>
  <c r="AO64" i="1"/>
  <c r="AP64" i="1" s="1"/>
  <c r="AO63" i="1"/>
  <c r="AP63" i="1" s="1"/>
  <c r="AI63" i="1"/>
  <c r="G63" i="1"/>
  <c r="C64" i="34" s="1"/>
  <c r="AO62" i="1"/>
  <c r="AP62" i="1" s="1"/>
  <c r="AI62" i="1"/>
  <c r="G62" i="1"/>
  <c r="C63" i="34" s="1"/>
  <c r="AO61" i="1"/>
  <c r="AP61" i="1" s="1"/>
  <c r="AI61" i="1"/>
  <c r="G61" i="1"/>
  <c r="C62" i="34" s="1"/>
  <c r="AO60" i="1"/>
  <c r="AP60" i="1" s="1"/>
  <c r="AI60" i="1"/>
  <c r="G60" i="1"/>
  <c r="C61" i="34" s="1"/>
  <c r="AO59" i="1"/>
  <c r="AP59" i="1" s="1"/>
  <c r="AI59" i="1"/>
  <c r="G59" i="1"/>
  <c r="C60" i="34" s="1"/>
  <c r="AO58" i="1"/>
  <c r="AP58" i="1" s="1"/>
  <c r="AI58" i="1"/>
  <c r="G58" i="1"/>
  <c r="C59" i="34" s="1"/>
  <c r="AO57" i="1"/>
  <c r="AP57" i="1" s="1"/>
  <c r="AI57" i="1"/>
  <c r="G57" i="1"/>
  <c r="C58" i="34" s="1"/>
  <c r="AO56" i="1"/>
  <c r="AP56" i="1" s="1"/>
  <c r="AI56" i="1"/>
  <c r="G56" i="1"/>
  <c r="C57" i="34" s="1"/>
  <c r="AO55" i="1"/>
  <c r="AP55" i="1" s="1"/>
  <c r="AI55" i="1"/>
  <c r="G55" i="1"/>
  <c r="C56" i="34" s="1"/>
  <c r="AO54" i="1"/>
  <c r="AP54" i="1" s="1"/>
  <c r="AI54" i="1"/>
  <c r="G54" i="1"/>
  <c r="C55" i="34" s="1"/>
  <c r="AO53" i="1"/>
  <c r="AP53" i="1" s="1"/>
  <c r="AI53" i="1"/>
  <c r="G53" i="1"/>
  <c r="C54" i="34" s="1"/>
  <c r="AO52" i="1"/>
  <c r="AP52" i="1" s="1"/>
  <c r="AI52" i="1"/>
  <c r="G52" i="1"/>
  <c r="C53" i="34" s="1"/>
  <c r="AO51" i="1"/>
  <c r="AP51" i="1" s="1"/>
  <c r="AI51" i="1"/>
  <c r="G51" i="1"/>
  <c r="C52" i="34" s="1"/>
  <c r="AO50" i="1"/>
  <c r="AP50" i="1" s="1"/>
  <c r="AI50" i="1"/>
  <c r="G50" i="1"/>
  <c r="C51" i="34" s="1"/>
  <c r="AO49" i="1"/>
  <c r="AP49" i="1" s="1"/>
  <c r="AI49" i="1"/>
  <c r="G49" i="1"/>
  <c r="C50" i="34" s="1"/>
  <c r="AO48" i="1"/>
  <c r="AP48" i="1" s="1"/>
  <c r="AI48" i="1"/>
  <c r="G48" i="1"/>
  <c r="C49" i="34" s="1"/>
  <c r="AO47" i="1"/>
  <c r="AP47" i="1" s="1"/>
  <c r="AI47" i="1"/>
  <c r="G47" i="1"/>
  <c r="C48" i="34" s="1"/>
  <c r="AO46" i="1"/>
  <c r="AP46" i="1" s="1"/>
  <c r="AI46" i="1"/>
  <c r="G46" i="1"/>
  <c r="C47" i="34" s="1"/>
  <c r="AO45" i="1"/>
  <c r="AP45" i="1" s="1"/>
  <c r="AI45" i="1"/>
  <c r="G45" i="1"/>
  <c r="C46" i="34" s="1"/>
  <c r="AO44" i="1"/>
  <c r="AP44" i="1" s="1"/>
  <c r="AI44" i="1"/>
  <c r="G44" i="1"/>
  <c r="C45" i="34" s="1"/>
  <c r="AO43" i="1"/>
  <c r="AP43" i="1" s="1"/>
  <c r="AI43" i="1"/>
  <c r="G43" i="1"/>
  <c r="C44" i="34" s="1"/>
  <c r="AI42" i="1"/>
  <c r="G42" i="1"/>
  <c r="C43" i="34" s="1"/>
  <c r="AI41" i="1"/>
  <c r="G41" i="1"/>
  <c r="C42" i="34" s="1"/>
  <c r="AI40" i="1"/>
  <c r="G40" i="1"/>
  <c r="C41" i="34" s="1"/>
  <c r="AI39" i="1"/>
  <c r="G39" i="1"/>
  <c r="C40" i="34" s="1"/>
  <c r="AI38" i="1"/>
  <c r="G38" i="1"/>
  <c r="C39" i="34" s="1"/>
  <c r="AI37" i="1"/>
  <c r="G37" i="1"/>
  <c r="C38" i="34" s="1"/>
  <c r="AI36" i="1"/>
  <c r="G36" i="1"/>
  <c r="C37" i="34" s="1"/>
  <c r="AI35" i="1"/>
  <c r="G35" i="1"/>
  <c r="C36" i="34" s="1"/>
  <c r="AI34" i="1"/>
  <c r="G34" i="1"/>
  <c r="C35" i="34" s="1"/>
  <c r="AI33" i="1"/>
  <c r="G33" i="1"/>
  <c r="C34" i="34" s="1"/>
  <c r="AI32" i="1"/>
  <c r="G32" i="1"/>
  <c r="C33" i="34" s="1"/>
  <c r="AI31" i="1"/>
  <c r="G31" i="1"/>
  <c r="C32" i="34" s="1"/>
  <c r="AI30" i="1"/>
  <c r="G30" i="1"/>
  <c r="C31" i="34" s="1"/>
  <c r="AI29" i="1"/>
  <c r="G29" i="1"/>
  <c r="C30" i="34" s="1"/>
  <c r="AI28" i="1"/>
  <c r="G28" i="1"/>
  <c r="C29" i="34" s="1"/>
  <c r="AI27" i="1"/>
  <c r="G27" i="1"/>
  <c r="C28" i="34" s="1"/>
  <c r="AI26" i="1"/>
  <c r="G26" i="1"/>
  <c r="C27" i="34" s="1"/>
  <c r="AI25" i="1"/>
  <c r="G25" i="1"/>
  <c r="C26" i="34" s="1"/>
  <c r="AI24" i="1"/>
  <c r="G24" i="1"/>
  <c r="C25" i="34" s="1"/>
  <c r="AI23" i="1"/>
  <c r="G23" i="1"/>
  <c r="C24" i="34" s="1"/>
  <c r="AI22" i="1"/>
  <c r="G22" i="1"/>
  <c r="C23" i="34" s="1"/>
  <c r="AI21" i="1"/>
  <c r="G21" i="1"/>
  <c r="C22" i="34" s="1"/>
  <c r="AI20" i="1"/>
  <c r="G20" i="1"/>
  <c r="C21" i="34" s="1"/>
  <c r="AI19" i="1"/>
  <c r="G19" i="1"/>
  <c r="C20" i="34" s="1"/>
  <c r="AI18" i="1"/>
  <c r="G18" i="1"/>
  <c r="C19" i="34" s="1"/>
  <c r="AI17" i="1"/>
  <c r="G17" i="1"/>
  <c r="C18" i="34" s="1"/>
  <c r="AI16" i="1"/>
  <c r="G16" i="1"/>
  <c r="C17" i="34" s="1"/>
  <c r="AI15" i="1"/>
  <c r="G15" i="1"/>
  <c r="C16" i="34" s="1"/>
  <c r="AI14" i="1"/>
  <c r="G14" i="1"/>
  <c r="AI13" i="1"/>
  <c r="G13" i="1"/>
  <c r="AI12" i="1"/>
  <c r="G12" i="1"/>
  <c r="AI11" i="1"/>
  <c r="G11" i="1"/>
  <c r="AI10" i="1"/>
  <c r="G10" i="1"/>
  <c r="AI9" i="1"/>
  <c r="G9" i="1"/>
  <c r="AI8" i="1"/>
  <c r="G8" i="1"/>
  <c r="AI7" i="1"/>
  <c r="G7" i="1"/>
  <c r="AI6" i="1"/>
  <c r="G6" i="1"/>
  <c r="AI5" i="1"/>
  <c r="G5" i="1"/>
  <c r="D5" i="36" s="1"/>
  <c r="AI4" i="1"/>
  <c r="G4" i="1"/>
  <c r="AO3" i="1"/>
  <c r="AP3" i="1" s="1"/>
  <c r="AI3" i="1"/>
  <c r="G3" i="1"/>
  <c r="L5" i="38" l="1"/>
  <c r="L5" i="41"/>
  <c r="C15" i="34"/>
  <c r="E5" i="40"/>
  <c r="I25" i="35"/>
  <c r="E28" i="35"/>
  <c r="I29" i="35" l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E27" i="35"/>
  <c r="E25" i="35"/>
  <c r="E26" i="35"/>
  <c r="G113" i="1"/>
  <c r="C114" i="34" s="1"/>
  <c r="AI113" i="1"/>
  <c r="AO113" i="1"/>
  <c r="AP113" i="1" s="1"/>
  <c r="G114" i="1"/>
  <c r="C115" i="34" s="1"/>
  <c r="AI114" i="1"/>
  <c r="AO114" i="1"/>
  <c r="AP114" i="1" s="1"/>
  <c r="G115" i="1"/>
  <c r="C116" i="34" s="1"/>
  <c r="AI115" i="1"/>
  <c r="AO115" i="1"/>
  <c r="AP115" i="1" s="1"/>
  <c r="G116" i="1"/>
  <c r="C117" i="34" s="1"/>
  <c r="AI116" i="1"/>
  <c r="AO116" i="1"/>
  <c r="AP116" i="1" s="1"/>
  <c r="G117" i="1"/>
  <c r="C118" i="34" s="1"/>
  <c r="AI117" i="1"/>
  <c r="AO117" i="1"/>
  <c r="AP117" i="1" s="1"/>
  <c r="G118" i="1"/>
  <c r="C119" i="34" s="1"/>
  <c r="AI118" i="1"/>
  <c r="AO118" i="1"/>
  <c r="AP118" i="1" s="1"/>
  <c r="G119" i="1"/>
  <c r="C120" i="34" s="1"/>
  <c r="AI119" i="1"/>
  <c r="AO119" i="1"/>
  <c r="AP119" i="1" s="1"/>
  <c r="G120" i="1"/>
  <c r="C121" i="34" s="1"/>
  <c r="AI120" i="1"/>
  <c r="AO120" i="1"/>
  <c r="AP120" i="1" s="1"/>
  <c r="G121" i="1"/>
  <c r="C122" i="34" s="1"/>
  <c r="AI121" i="1"/>
  <c r="AO121" i="1"/>
  <c r="AP121" i="1" s="1"/>
  <c r="G122" i="1"/>
  <c r="C123" i="34" s="1"/>
  <c r="AI122" i="1"/>
  <c r="AO122" i="1"/>
  <c r="AP122" i="1" s="1"/>
  <c r="G123" i="1"/>
  <c r="C124" i="34" s="1"/>
  <c r="AI123" i="1"/>
  <c r="AO123" i="1"/>
  <c r="AP123" i="1" s="1"/>
  <c r="G124" i="1"/>
  <c r="C125" i="34" s="1"/>
  <c r="AI124" i="1"/>
  <c r="AO124" i="1"/>
  <c r="AP124" i="1" s="1"/>
  <c r="G125" i="1"/>
  <c r="C126" i="34" s="1"/>
  <c r="AI125" i="1"/>
  <c r="AO125" i="1"/>
  <c r="AP125" i="1" s="1"/>
  <c r="G126" i="1"/>
  <c r="C127" i="34" s="1"/>
  <c r="AI126" i="1"/>
  <c r="AO126" i="1"/>
  <c r="AP126" i="1" s="1"/>
  <c r="G127" i="1"/>
  <c r="C128" i="34" s="1"/>
  <c r="AI127" i="1"/>
  <c r="AO127" i="1"/>
  <c r="AP127" i="1" s="1"/>
  <c r="G128" i="1"/>
  <c r="C129" i="34" s="1"/>
  <c r="AI128" i="1"/>
  <c r="AO128" i="1"/>
  <c r="AP128" i="1" s="1"/>
  <c r="G129" i="1"/>
  <c r="C130" i="34" s="1"/>
  <c r="AI129" i="1"/>
  <c r="AO129" i="1"/>
  <c r="AP129" i="1" s="1"/>
  <c r="G130" i="1"/>
  <c r="C131" i="34" s="1"/>
  <c r="AI130" i="1"/>
  <c r="AO130" i="1"/>
  <c r="AP130" i="1" s="1"/>
  <c r="G131" i="1"/>
  <c r="C132" i="34" s="1"/>
  <c r="AI131" i="1"/>
  <c r="AO131" i="1"/>
  <c r="AP131" i="1" s="1"/>
  <c r="G132" i="1"/>
  <c r="C133" i="34" s="1"/>
  <c r="AI132" i="1"/>
  <c r="AO132" i="1"/>
  <c r="AP132" i="1" s="1"/>
  <c r="G133" i="1"/>
  <c r="C134" i="34" s="1"/>
  <c r="AI133" i="1"/>
  <c r="AO133" i="1"/>
  <c r="AP133" i="1" s="1"/>
  <c r="G134" i="1"/>
  <c r="C135" i="34" s="1"/>
  <c r="AI134" i="1"/>
  <c r="AO134" i="1"/>
  <c r="AP134" i="1" s="1"/>
  <c r="G135" i="1"/>
  <c r="C136" i="34" s="1"/>
  <c r="AI135" i="1"/>
  <c r="AO135" i="1"/>
  <c r="AP135" i="1" s="1"/>
  <c r="G136" i="1"/>
  <c r="C137" i="34" s="1"/>
  <c r="AI136" i="1"/>
  <c r="AO136" i="1"/>
  <c r="AP136" i="1" s="1"/>
  <c r="G137" i="1"/>
  <c r="C138" i="34" s="1"/>
  <c r="AI137" i="1"/>
  <c r="AO137" i="1"/>
  <c r="AP137" i="1" s="1"/>
  <c r="G138" i="1"/>
  <c r="C139" i="34" s="1"/>
  <c r="AI138" i="1"/>
  <c r="AO138" i="1"/>
  <c r="AP138" i="1" s="1"/>
  <c r="G139" i="1"/>
  <c r="C140" i="34" s="1"/>
  <c r="AI139" i="1"/>
  <c r="AO139" i="1"/>
  <c r="AP139" i="1" s="1"/>
  <c r="G140" i="1"/>
  <c r="C141" i="34" s="1"/>
  <c r="AI140" i="1"/>
  <c r="AO140" i="1"/>
  <c r="AP140" i="1" s="1"/>
  <c r="G141" i="1"/>
  <c r="C142" i="34" s="1"/>
  <c r="AI141" i="1"/>
  <c r="AO141" i="1"/>
  <c r="AP141" i="1" s="1"/>
  <c r="G142" i="1"/>
  <c r="C143" i="34" s="1"/>
  <c r="AI142" i="1"/>
  <c r="AO142" i="1"/>
  <c r="AP142" i="1" s="1"/>
  <c r="G143" i="1"/>
  <c r="C144" i="34" s="1"/>
  <c r="AI143" i="1"/>
  <c r="AO143" i="1"/>
  <c r="AP143" i="1" s="1"/>
  <c r="G144" i="1"/>
  <c r="C145" i="34" s="1"/>
  <c r="AI144" i="1"/>
  <c r="AO144" i="1"/>
  <c r="AP144" i="1" s="1"/>
  <c r="G145" i="1"/>
  <c r="C146" i="34" s="1"/>
  <c r="AI145" i="1"/>
  <c r="AO145" i="1"/>
  <c r="AP145" i="1" s="1"/>
  <c r="G146" i="1"/>
  <c r="AI146" i="1"/>
  <c r="AO146" i="1"/>
  <c r="AP146" i="1" s="1"/>
  <c r="G147" i="1"/>
  <c r="AI147" i="1"/>
  <c r="AO147" i="1"/>
  <c r="AP147" i="1" s="1"/>
  <c r="G148" i="1"/>
  <c r="AI148" i="1"/>
  <c r="AO148" i="1"/>
  <c r="AP148" i="1" s="1"/>
  <c r="G149" i="1"/>
  <c r="AI149" i="1"/>
  <c r="AO149" i="1"/>
  <c r="AP149" i="1" s="1"/>
  <c r="G150" i="1"/>
  <c r="AI150" i="1"/>
  <c r="AO150" i="1"/>
  <c r="AP150" i="1" s="1"/>
  <c r="G151" i="1"/>
  <c r="AI151" i="1"/>
  <c r="AO151" i="1"/>
  <c r="AP151" i="1" s="1"/>
  <c r="G152" i="1"/>
  <c r="AI152" i="1"/>
  <c r="AO152" i="1"/>
  <c r="AP152" i="1" s="1"/>
  <c r="G153" i="1"/>
  <c r="AI153" i="1"/>
  <c r="AO153" i="1"/>
  <c r="AP153" i="1" s="1"/>
  <c r="G154" i="1"/>
  <c r="AI154" i="1"/>
  <c r="AO154" i="1"/>
  <c r="AP154" i="1" s="1"/>
  <c r="G155" i="1"/>
  <c r="AI155" i="1"/>
  <c r="AO155" i="1"/>
  <c r="AP155" i="1" s="1"/>
  <c r="G156" i="1"/>
  <c r="AI156" i="1"/>
  <c r="AO156" i="1"/>
  <c r="AP156" i="1" s="1"/>
  <c r="G157" i="1"/>
  <c r="AI157" i="1"/>
  <c r="AO157" i="1"/>
  <c r="AP157" i="1" s="1"/>
  <c r="G158" i="1"/>
  <c r="AI158" i="1"/>
  <c r="AO158" i="1"/>
  <c r="AP158" i="1" s="1"/>
  <c r="G159" i="1"/>
  <c r="AI159" i="1"/>
  <c r="AO159" i="1"/>
  <c r="AP159" i="1" s="1"/>
  <c r="G160" i="1"/>
  <c r="AI160" i="1"/>
  <c r="AO160" i="1"/>
  <c r="AP160" i="1" s="1"/>
  <c r="G161" i="1"/>
  <c r="AI161" i="1"/>
  <c r="AO161" i="1"/>
  <c r="AP161" i="1" s="1"/>
  <c r="G162" i="1"/>
  <c r="AI162" i="1"/>
  <c r="AO162" i="1"/>
  <c r="AP162" i="1" s="1"/>
  <c r="G163" i="1"/>
  <c r="AI163" i="1"/>
  <c r="AO163" i="1"/>
  <c r="AP163" i="1" s="1"/>
  <c r="G164" i="1"/>
  <c r="AI164" i="1"/>
  <c r="AO164" i="1"/>
  <c r="AP164" i="1" s="1"/>
  <c r="G165" i="1"/>
  <c r="AI165" i="1"/>
  <c r="AO165" i="1"/>
  <c r="AP165" i="1" s="1"/>
  <c r="G166" i="1"/>
  <c r="AI166" i="1"/>
  <c r="AO166" i="1"/>
  <c r="AP166" i="1" s="1"/>
  <c r="G167" i="1"/>
  <c r="AI167" i="1"/>
  <c r="AO167" i="1"/>
  <c r="AP167" i="1" s="1"/>
  <c r="G168" i="1"/>
  <c r="AI168" i="1"/>
  <c r="AO168" i="1"/>
  <c r="AP168" i="1" s="1"/>
  <c r="G169" i="1"/>
  <c r="AI169" i="1"/>
  <c r="AO169" i="1"/>
  <c r="AP169" i="1" s="1"/>
  <c r="G170" i="1"/>
  <c r="AI170" i="1"/>
  <c r="AO170" i="1"/>
  <c r="AP170" i="1" s="1"/>
  <c r="G171" i="1"/>
  <c r="AI171" i="1"/>
  <c r="AO171" i="1"/>
  <c r="AP171" i="1" s="1"/>
  <c r="G172" i="1"/>
  <c r="AI172" i="1"/>
  <c r="AO172" i="1"/>
  <c r="AP172" i="1" s="1"/>
  <c r="G173" i="1"/>
  <c r="AI173" i="1"/>
  <c r="AO173" i="1"/>
  <c r="AP173" i="1" s="1"/>
  <c r="G174" i="1"/>
  <c r="AI174" i="1"/>
  <c r="AO174" i="1"/>
  <c r="AP174" i="1" s="1"/>
  <c r="G175" i="1"/>
  <c r="AI175" i="1"/>
  <c r="AO175" i="1"/>
  <c r="AP175" i="1" s="1"/>
  <c r="G176" i="1"/>
  <c r="AI176" i="1"/>
  <c r="AO176" i="1"/>
  <c r="AP176" i="1" s="1"/>
  <c r="G177" i="1"/>
  <c r="AI177" i="1"/>
  <c r="AO177" i="1"/>
  <c r="AP177" i="1" s="1"/>
  <c r="G178" i="1"/>
  <c r="AI178" i="1"/>
  <c r="AO178" i="1"/>
  <c r="AP178" i="1" s="1"/>
  <c r="G179" i="1"/>
  <c r="AI179" i="1"/>
  <c r="AO179" i="1"/>
  <c r="AP179" i="1" s="1"/>
  <c r="G180" i="1"/>
  <c r="AI180" i="1"/>
  <c r="AO180" i="1"/>
  <c r="AP180" i="1" s="1"/>
  <c r="G181" i="1"/>
  <c r="AI181" i="1"/>
  <c r="AO181" i="1"/>
  <c r="AP181" i="1" s="1"/>
  <c r="G182" i="1"/>
  <c r="AI182" i="1"/>
  <c r="AO182" i="1"/>
  <c r="AP182" i="1" s="1"/>
  <c r="G183" i="1"/>
  <c r="AI183" i="1"/>
  <c r="AO183" i="1"/>
  <c r="AP183" i="1" s="1"/>
  <c r="G184" i="1"/>
  <c r="AI184" i="1"/>
  <c r="AO184" i="1"/>
  <c r="AP184" i="1" s="1"/>
  <c r="G185" i="1"/>
  <c r="AI185" i="1"/>
  <c r="AO185" i="1"/>
  <c r="AP185" i="1" s="1"/>
  <c r="G186" i="1"/>
  <c r="AI186" i="1"/>
  <c r="AO186" i="1"/>
  <c r="AP186" i="1" s="1"/>
  <c r="G187" i="1"/>
  <c r="AI187" i="1"/>
  <c r="AO187" i="1"/>
  <c r="AP187" i="1" s="1"/>
  <c r="G188" i="1"/>
  <c r="AI188" i="1"/>
  <c r="AO188" i="1"/>
  <c r="AP188" i="1" s="1"/>
  <c r="G189" i="1"/>
  <c r="AI189" i="1"/>
  <c r="AO189" i="1"/>
  <c r="AP189" i="1" s="1"/>
  <c r="G190" i="1"/>
  <c r="AI190" i="1"/>
  <c r="AO190" i="1"/>
  <c r="AP190" i="1" s="1"/>
  <c r="G191" i="1"/>
  <c r="AI191" i="1"/>
  <c r="AO191" i="1"/>
  <c r="AP191" i="1" s="1"/>
  <c r="G192" i="1"/>
  <c r="AI192" i="1"/>
  <c r="AO192" i="1"/>
  <c r="AP192" i="1" s="1"/>
  <c r="G193" i="1"/>
  <c r="AI193" i="1"/>
  <c r="AO193" i="1"/>
  <c r="AP193" i="1" s="1"/>
  <c r="G194" i="1"/>
  <c r="AI194" i="1"/>
  <c r="AO194" i="1"/>
  <c r="AP194" i="1" s="1"/>
  <c r="G195" i="1"/>
  <c r="AI195" i="1"/>
  <c r="AO195" i="1"/>
  <c r="AP195" i="1" s="1"/>
  <c r="G196" i="1"/>
  <c r="AI196" i="1"/>
  <c r="AO196" i="1"/>
  <c r="AP196" i="1" s="1"/>
  <c r="G197" i="1"/>
  <c r="AI197" i="1"/>
  <c r="AO197" i="1"/>
  <c r="AP197" i="1" s="1"/>
  <c r="G198" i="1"/>
  <c r="AI198" i="1"/>
  <c r="AO198" i="1"/>
  <c r="AP198" i="1" s="1"/>
  <c r="G199" i="1"/>
  <c r="AI199" i="1"/>
  <c r="AO199" i="1"/>
  <c r="AP199" i="1" s="1"/>
  <c r="G200" i="1"/>
  <c r="AI200" i="1"/>
  <c r="AO200" i="1"/>
  <c r="AP200" i="1" s="1"/>
  <c r="G201" i="1"/>
  <c r="AI201" i="1"/>
  <c r="AO201" i="1"/>
  <c r="AP201" i="1" s="1"/>
  <c r="G202" i="1"/>
  <c r="AI202" i="1"/>
  <c r="AO202" i="1"/>
  <c r="AP202" i="1" s="1"/>
  <c r="G203" i="1"/>
  <c r="AI203" i="1"/>
  <c r="AO203" i="1"/>
  <c r="AP203" i="1" s="1"/>
  <c r="G204" i="1"/>
  <c r="AI204" i="1"/>
  <c r="AO204" i="1"/>
  <c r="AP204" i="1" s="1"/>
  <c r="G205" i="1"/>
  <c r="AI205" i="1"/>
  <c r="AO205" i="1"/>
  <c r="AP205" i="1" s="1"/>
  <c r="G206" i="1"/>
  <c r="AI206" i="1"/>
  <c r="AO206" i="1"/>
  <c r="AP206" i="1" s="1"/>
  <c r="G207" i="1"/>
  <c r="AI207" i="1"/>
  <c r="AO207" i="1"/>
  <c r="AP207" i="1" s="1"/>
  <c r="G208" i="1"/>
  <c r="AI208" i="1"/>
  <c r="AO208" i="1"/>
  <c r="AP208" i="1" s="1"/>
  <c r="G209" i="1"/>
  <c r="AI209" i="1"/>
  <c r="AO209" i="1"/>
  <c r="AP209" i="1" s="1"/>
  <c r="G210" i="1"/>
  <c r="AI210" i="1"/>
  <c r="AO210" i="1"/>
  <c r="AP210" i="1" s="1"/>
  <c r="G211" i="1"/>
  <c r="AI211" i="1"/>
  <c r="AO211" i="1"/>
  <c r="AP211" i="1" s="1"/>
  <c r="G212" i="1"/>
  <c r="AI212" i="1"/>
  <c r="AO212" i="1"/>
  <c r="AP212" i="1" s="1"/>
  <c r="G213" i="1"/>
  <c r="AI213" i="1"/>
  <c r="AO213" i="1"/>
  <c r="AP213" i="1" s="1"/>
  <c r="G214" i="1"/>
  <c r="AI214" i="1"/>
  <c r="AO214" i="1"/>
  <c r="AP214" i="1" s="1"/>
  <c r="G215" i="1"/>
  <c r="AI215" i="1"/>
  <c r="AO215" i="1"/>
  <c r="AP215" i="1" s="1"/>
  <c r="G216" i="1"/>
  <c r="AI216" i="1"/>
  <c r="AO216" i="1"/>
  <c r="AP216" i="1" s="1"/>
  <c r="G217" i="1"/>
  <c r="AI217" i="1"/>
  <c r="AO217" i="1"/>
  <c r="AP217" i="1" s="1"/>
  <c r="G218" i="1"/>
  <c r="AI218" i="1"/>
  <c r="AO218" i="1"/>
  <c r="AP218" i="1" s="1"/>
  <c r="G219" i="1"/>
  <c r="AI219" i="1"/>
  <c r="AO219" i="1"/>
  <c r="AP219" i="1" s="1"/>
  <c r="G220" i="1"/>
  <c r="AI220" i="1"/>
  <c r="AO220" i="1"/>
  <c r="AP220" i="1" s="1"/>
  <c r="G221" i="1"/>
  <c r="AI221" i="1"/>
  <c r="AO221" i="1"/>
  <c r="AP221" i="1" s="1"/>
  <c r="G222" i="1"/>
  <c r="AI222" i="1"/>
  <c r="AO222" i="1"/>
  <c r="AP222" i="1" s="1"/>
  <c r="G223" i="1"/>
  <c r="AI223" i="1"/>
  <c r="AO223" i="1"/>
  <c r="AP223" i="1" s="1"/>
  <c r="G224" i="1"/>
  <c r="AI224" i="1"/>
  <c r="AO224" i="1"/>
  <c r="AP224" i="1" s="1"/>
  <c r="G225" i="1"/>
  <c r="AI225" i="1"/>
  <c r="AO225" i="1"/>
  <c r="AP225" i="1" s="1"/>
  <c r="G226" i="1"/>
  <c r="AI226" i="1"/>
  <c r="AO226" i="1"/>
  <c r="AP226" i="1" s="1"/>
  <c r="G227" i="1"/>
  <c r="AI227" i="1"/>
  <c r="AO227" i="1"/>
  <c r="AP227" i="1" s="1"/>
  <c r="G228" i="1"/>
  <c r="AI228" i="1"/>
  <c r="AO228" i="1"/>
  <c r="AP228" i="1" s="1"/>
  <c r="G229" i="1"/>
  <c r="AI229" i="1"/>
  <c r="AO229" i="1"/>
  <c r="AP229" i="1" s="1"/>
  <c r="G230" i="1"/>
  <c r="AI230" i="1"/>
  <c r="AO230" i="1"/>
  <c r="AP230" i="1" s="1"/>
  <c r="G231" i="1"/>
  <c r="AI231" i="1"/>
  <c r="AO231" i="1"/>
  <c r="AP231" i="1" s="1"/>
  <c r="G232" i="1"/>
  <c r="AI232" i="1"/>
  <c r="AO232" i="1"/>
  <c r="AP232" i="1" s="1"/>
  <c r="G233" i="1"/>
  <c r="AI233" i="1"/>
  <c r="AO233" i="1"/>
  <c r="AP233" i="1" s="1"/>
  <c r="G234" i="1"/>
  <c r="AI234" i="1"/>
  <c r="AO234" i="1"/>
  <c r="AP234" i="1" s="1"/>
  <c r="G235" i="1"/>
  <c r="AI235" i="1"/>
  <c r="AO235" i="1"/>
  <c r="AP235" i="1" s="1"/>
  <c r="G236" i="1"/>
  <c r="AI236" i="1"/>
  <c r="AO236" i="1"/>
  <c r="AP236" i="1" s="1"/>
  <c r="G237" i="1"/>
  <c r="AI237" i="1"/>
  <c r="AO237" i="1"/>
  <c r="AP237" i="1" s="1"/>
  <c r="G238" i="1"/>
  <c r="AI238" i="1"/>
  <c r="AO238" i="1"/>
  <c r="AP238" i="1" s="1"/>
  <c r="G239" i="1"/>
  <c r="AI239" i="1"/>
  <c r="AO239" i="1"/>
  <c r="AP239" i="1" s="1"/>
  <c r="G240" i="1"/>
  <c r="AI240" i="1"/>
  <c r="AO240" i="1"/>
  <c r="AP240" i="1" s="1"/>
  <c r="G241" i="1"/>
  <c r="AI241" i="1"/>
  <c r="AO241" i="1"/>
  <c r="AP241" i="1" s="1"/>
  <c r="G242" i="1"/>
  <c r="AI242" i="1"/>
  <c r="AO242" i="1"/>
  <c r="AP242" i="1" s="1"/>
  <c r="G243" i="1"/>
  <c r="AI243" i="1"/>
  <c r="AO243" i="1"/>
  <c r="AP243" i="1" s="1"/>
  <c r="G244" i="1"/>
  <c r="AI244" i="1"/>
  <c r="AO244" i="1"/>
  <c r="AP244" i="1" s="1"/>
  <c r="G245" i="1"/>
  <c r="AI245" i="1"/>
  <c r="AO245" i="1"/>
  <c r="AP245" i="1" s="1"/>
  <c r="G246" i="1"/>
  <c r="AI246" i="1"/>
  <c r="AO246" i="1"/>
  <c r="AP246" i="1" s="1"/>
  <c r="G247" i="1"/>
  <c r="AI247" i="1"/>
  <c r="AO247" i="1"/>
  <c r="AP247" i="1" s="1"/>
  <c r="G248" i="1"/>
  <c r="AI248" i="1"/>
  <c r="AO248" i="1"/>
  <c r="AP248" i="1" s="1"/>
  <c r="G249" i="1"/>
  <c r="AI249" i="1"/>
  <c r="AO249" i="1"/>
  <c r="AP249" i="1" s="1"/>
  <c r="G250" i="1"/>
  <c r="AI250" i="1"/>
  <c r="AO250" i="1"/>
  <c r="AP250" i="1" s="1"/>
  <c r="G251" i="1"/>
  <c r="AI251" i="1"/>
  <c r="AO251" i="1"/>
  <c r="AP251" i="1" s="1"/>
  <c r="G252" i="1"/>
  <c r="AI252" i="1"/>
  <c r="AO252" i="1"/>
  <c r="AP252" i="1" s="1"/>
  <c r="G253" i="1"/>
  <c r="AI253" i="1"/>
  <c r="AO253" i="1"/>
  <c r="AP253" i="1" s="1"/>
  <c r="G254" i="1"/>
  <c r="AI254" i="1"/>
  <c r="AO254" i="1"/>
  <c r="AP254" i="1" s="1"/>
  <c r="G255" i="1"/>
  <c r="AI255" i="1"/>
  <c r="AO255" i="1"/>
  <c r="AP255" i="1" s="1"/>
  <c r="G256" i="1"/>
  <c r="AI256" i="1"/>
  <c r="AO256" i="1"/>
  <c r="AP256" i="1" s="1"/>
  <c r="G257" i="1"/>
  <c r="AI257" i="1"/>
  <c r="AO257" i="1"/>
  <c r="AP257" i="1" s="1"/>
  <c r="G258" i="1"/>
  <c r="AI258" i="1"/>
  <c r="AO258" i="1"/>
  <c r="AP258" i="1" s="1"/>
  <c r="G259" i="1"/>
  <c r="AI259" i="1"/>
  <c r="AO259" i="1"/>
  <c r="AP259" i="1" s="1"/>
  <c r="G260" i="1"/>
  <c r="AI260" i="1"/>
  <c r="AO260" i="1"/>
  <c r="AP260" i="1" s="1"/>
  <c r="G261" i="1"/>
  <c r="AI261" i="1"/>
  <c r="AO261" i="1"/>
  <c r="AP261" i="1" s="1"/>
  <c r="G262" i="1"/>
  <c r="AI262" i="1"/>
  <c r="AO262" i="1"/>
  <c r="AP262" i="1" s="1"/>
  <c r="G263" i="1"/>
  <c r="AI263" i="1"/>
  <c r="AO263" i="1"/>
  <c r="AP263" i="1" s="1"/>
  <c r="G264" i="1"/>
  <c r="AI264" i="1"/>
  <c r="AO264" i="1"/>
  <c r="AP264" i="1" s="1"/>
  <c r="G265" i="1"/>
  <c r="AI265" i="1"/>
  <c r="AO265" i="1"/>
  <c r="AP265" i="1" s="1"/>
  <c r="G266" i="1"/>
  <c r="AI266" i="1"/>
  <c r="AO266" i="1"/>
  <c r="AP266" i="1" s="1"/>
  <c r="G267" i="1"/>
  <c r="AI267" i="1"/>
  <c r="AO267" i="1"/>
  <c r="AP267" i="1" s="1"/>
  <c r="G268" i="1"/>
  <c r="AI268" i="1"/>
  <c r="AO268" i="1"/>
  <c r="AP268" i="1" s="1"/>
  <c r="G269" i="1"/>
  <c r="AI269" i="1"/>
  <c r="AO269" i="1"/>
  <c r="AP269" i="1" s="1"/>
  <c r="G270" i="1"/>
  <c r="AI270" i="1"/>
  <c r="AO270" i="1"/>
  <c r="AP270" i="1" s="1"/>
  <c r="G271" i="1"/>
  <c r="AI271" i="1"/>
  <c r="AO271" i="1"/>
  <c r="AP271" i="1" s="1"/>
  <c r="G272" i="1"/>
  <c r="AI272" i="1"/>
  <c r="AO272" i="1"/>
  <c r="AP272" i="1" s="1"/>
  <c r="G273" i="1"/>
  <c r="AI273" i="1"/>
  <c r="AO273" i="1"/>
  <c r="AP273" i="1" s="1"/>
  <c r="G274" i="1"/>
  <c r="AI274" i="1"/>
  <c r="AO274" i="1"/>
  <c r="AP274" i="1" s="1"/>
  <c r="G275" i="1"/>
  <c r="AI275" i="1"/>
  <c r="AO275" i="1"/>
  <c r="AP275" i="1" s="1"/>
  <c r="G276" i="1"/>
  <c r="AI276" i="1"/>
  <c r="AO276" i="1"/>
  <c r="AP276" i="1" s="1"/>
  <c r="G277" i="1"/>
  <c r="AI277" i="1"/>
  <c r="AO277" i="1"/>
  <c r="AP277" i="1" s="1"/>
  <c r="G278" i="1"/>
  <c r="AI278" i="1"/>
  <c r="AO278" i="1"/>
  <c r="AP278" i="1" s="1"/>
  <c r="G279" i="1"/>
  <c r="AI279" i="1"/>
  <c r="AO279" i="1"/>
  <c r="AP279" i="1" s="1"/>
  <c r="G280" i="1"/>
  <c r="AI280" i="1"/>
  <c r="AO280" i="1"/>
  <c r="AP280" i="1" s="1"/>
  <c r="G281" i="1"/>
  <c r="AI281" i="1"/>
  <c r="AO281" i="1"/>
  <c r="AP281" i="1" s="1"/>
  <c r="G282" i="1"/>
  <c r="AI282" i="1"/>
  <c r="AO282" i="1"/>
  <c r="AP282" i="1" s="1"/>
  <c r="G283" i="1"/>
  <c r="AI283" i="1"/>
  <c r="AO283" i="1"/>
  <c r="AP283" i="1" s="1"/>
  <c r="G284" i="1"/>
  <c r="AI284" i="1"/>
  <c r="AO284" i="1"/>
  <c r="AP284" i="1" s="1"/>
  <c r="G285" i="1"/>
  <c r="AI285" i="1"/>
  <c r="AO285" i="1"/>
  <c r="AP285" i="1" s="1"/>
  <c r="G286" i="1"/>
  <c r="AI286" i="1"/>
  <c r="AO286" i="1"/>
  <c r="AP286" i="1" s="1"/>
  <c r="G287" i="1"/>
  <c r="AI287" i="1"/>
  <c r="AO287" i="1"/>
  <c r="AP287" i="1" s="1"/>
  <c r="G288" i="1"/>
  <c r="AI288" i="1"/>
  <c r="AO288" i="1"/>
  <c r="AP288" i="1" s="1"/>
  <c r="G289" i="1"/>
  <c r="AI289" i="1"/>
  <c r="AO289" i="1"/>
  <c r="AP289" i="1" s="1"/>
  <c r="G290" i="1"/>
  <c r="AI290" i="1"/>
  <c r="AO290" i="1"/>
  <c r="AP290" i="1" s="1"/>
  <c r="G291" i="1"/>
  <c r="AI291" i="1"/>
  <c r="AO291" i="1"/>
  <c r="AP291" i="1" s="1"/>
  <c r="G292" i="1"/>
  <c r="AI292" i="1"/>
  <c r="AO292" i="1"/>
  <c r="AP292" i="1" s="1"/>
  <c r="G293" i="1"/>
  <c r="AI293" i="1"/>
  <c r="AO293" i="1"/>
  <c r="AP293" i="1" s="1"/>
  <c r="G294" i="1"/>
  <c r="AI294" i="1"/>
  <c r="AO294" i="1"/>
  <c r="AP294" i="1" s="1"/>
  <c r="G295" i="1"/>
  <c r="AI295" i="1"/>
  <c r="AO295" i="1"/>
  <c r="AP295" i="1" s="1"/>
  <c r="G296" i="1"/>
  <c r="AI296" i="1"/>
  <c r="AO296" i="1"/>
  <c r="AP296" i="1" s="1"/>
  <c r="G297" i="1"/>
  <c r="AI297" i="1"/>
  <c r="AO297" i="1"/>
  <c r="AP297" i="1" s="1"/>
  <c r="G298" i="1"/>
  <c r="AI298" i="1"/>
  <c r="AO298" i="1"/>
  <c r="AP298" i="1" s="1"/>
  <c r="G299" i="1"/>
  <c r="AI299" i="1"/>
  <c r="AO299" i="1"/>
  <c r="AP299" i="1" s="1"/>
  <c r="G300" i="1"/>
  <c r="AI300" i="1"/>
  <c r="AO300" i="1"/>
  <c r="AP300" i="1" s="1"/>
  <c r="G301" i="1"/>
  <c r="AI301" i="1"/>
  <c r="AO301" i="1"/>
  <c r="AP301" i="1" s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C29" i="35" l="1"/>
  <c r="E29" i="35"/>
  <c r="E3" i="35"/>
  <c r="E2" i="35"/>
  <c r="E5" i="35"/>
  <c r="B5" i="35"/>
  <c r="B3" i="35"/>
  <c r="H9" i="35"/>
  <c r="E4" i="35" l="1"/>
  <c r="B2" i="35"/>
  <c r="E33" i="35" l="1"/>
  <c r="E32" i="35"/>
  <c r="C32" i="35"/>
  <c r="E31" i="35"/>
  <c r="O30" i="35"/>
  <c r="J30" i="35"/>
  <c r="I30" i="35"/>
  <c r="E30" i="35"/>
  <c r="C30" i="35"/>
  <c r="J28" i="35"/>
  <c r="I28" i="35"/>
  <c r="M27" i="35"/>
  <c r="J27" i="35"/>
  <c r="I27" i="35"/>
  <c r="M26" i="35"/>
  <c r="J26" i="35"/>
  <c r="I26" i="35"/>
  <c r="N25" i="35"/>
  <c r="M25" i="35"/>
  <c r="J25" i="35"/>
  <c r="M24" i="35"/>
  <c r="J24" i="35"/>
  <c r="I24" i="35"/>
  <c r="C24" i="35"/>
  <c r="M23" i="35"/>
  <c r="J23" i="35"/>
  <c r="I23" i="35"/>
  <c r="C23" i="35"/>
  <c r="M22" i="35"/>
  <c r="J22" i="35"/>
  <c r="I22" i="35"/>
  <c r="E22" i="35"/>
  <c r="C22" i="35" s="1"/>
  <c r="N21" i="35"/>
  <c r="M21" i="35"/>
  <c r="J21" i="35"/>
  <c r="I21" i="35"/>
  <c r="E19" i="35"/>
  <c r="P18" i="35"/>
  <c r="N18" i="35"/>
  <c r="M18" i="35"/>
  <c r="L18" i="35"/>
  <c r="K18" i="35"/>
  <c r="J18" i="35"/>
  <c r="I18" i="35"/>
  <c r="H18" i="35"/>
  <c r="B18" i="35"/>
  <c r="F18" i="35" s="1"/>
  <c r="C17" i="35"/>
  <c r="Q15" i="35"/>
  <c r="P15" i="35"/>
  <c r="O15" i="35"/>
  <c r="N15" i="35"/>
  <c r="M15" i="35"/>
  <c r="L15" i="35"/>
  <c r="K15" i="35"/>
  <c r="J15" i="35"/>
  <c r="I15" i="35"/>
  <c r="H15" i="35"/>
  <c r="F15" i="35"/>
  <c r="Q12" i="35"/>
  <c r="P12" i="35"/>
  <c r="O12" i="35"/>
  <c r="N12" i="35"/>
  <c r="M12" i="35"/>
  <c r="L12" i="35"/>
  <c r="K12" i="35"/>
  <c r="J12" i="35"/>
  <c r="I12" i="35"/>
  <c r="H12" i="35"/>
  <c r="D12" i="35"/>
  <c r="B12" i="35"/>
  <c r="Q9" i="35"/>
  <c r="P9" i="35"/>
  <c r="O9" i="35"/>
  <c r="N9" i="35"/>
  <c r="C26" i="35" s="1"/>
  <c r="M9" i="35"/>
  <c r="C25" i="35" s="1"/>
  <c r="L9" i="35"/>
  <c r="K9" i="35"/>
  <c r="J9" i="35"/>
  <c r="I9" i="35"/>
  <c r="B9" i="35"/>
  <c r="F9" i="35" s="1"/>
  <c r="Q6" i="35"/>
  <c r="P6" i="35"/>
  <c r="O6" i="35"/>
  <c r="N6" i="35"/>
  <c r="M6" i="35"/>
  <c r="L6" i="35"/>
  <c r="K6" i="35"/>
  <c r="J6" i="35"/>
  <c r="I6" i="35"/>
  <c r="H6" i="35"/>
  <c r="O3" i="35"/>
  <c r="O2" i="35"/>
  <c r="J2" i="35"/>
  <c r="I2" i="35"/>
  <c r="H2" i="35"/>
  <c r="H14" i="34"/>
  <c r="G14" i="34"/>
  <c r="F14" i="34"/>
  <c r="E14" i="34"/>
  <c r="D14" i="34"/>
  <c r="C14" i="34"/>
  <c r="B14" i="34"/>
  <c r="A14" i="34"/>
  <c r="H13" i="34"/>
  <c r="G13" i="34"/>
  <c r="F13" i="34"/>
  <c r="E13" i="34"/>
  <c r="D13" i="34"/>
  <c r="C13" i="34"/>
  <c r="B13" i="34"/>
  <c r="A13" i="34"/>
  <c r="H12" i="34"/>
  <c r="G12" i="34"/>
  <c r="F12" i="34"/>
  <c r="E12" i="34"/>
  <c r="D12" i="34"/>
  <c r="C12" i="34"/>
  <c r="B12" i="34"/>
  <c r="A12" i="34"/>
  <c r="H11" i="34"/>
  <c r="G11" i="34"/>
  <c r="F11" i="34"/>
  <c r="E11" i="34"/>
  <c r="D11" i="34"/>
  <c r="C11" i="34"/>
  <c r="B11" i="34"/>
  <c r="A11" i="34"/>
  <c r="H10" i="34"/>
  <c r="G10" i="34"/>
  <c r="F10" i="34"/>
  <c r="E10" i="34"/>
  <c r="D10" i="34"/>
  <c r="C10" i="34"/>
  <c r="B10" i="34"/>
  <c r="A10" i="34"/>
  <c r="H9" i="34"/>
  <c r="G9" i="34"/>
  <c r="F9" i="34"/>
  <c r="E9" i="34"/>
  <c r="D9" i="34"/>
  <c r="C9" i="34"/>
  <c r="B9" i="34"/>
  <c r="A9" i="34"/>
  <c r="H8" i="34"/>
  <c r="G8" i="34"/>
  <c r="F8" i="34"/>
  <c r="E8" i="34"/>
  <c r="D8" i="34"/>
  <c r="C8" i="34"/>
  <c r="B8" i="34"/>
  <c r="A8" i="34"/>
  <c r="H7" i="34"/>
  <c r="G7" i="34"/>
  <c r="F7" i="34"/>
  <c r="E7" i="34"/>
  <c r="D7" i="34"/>
  <c r="C7" i="34"/>
  <c r="B7" i="34"/>
  <c r="A7" i="34"/>
  <c r="H6" i="34"/>
  <c r="G6" i="34"/>
  <c r="F6" i="34"/>
  <c r="E6" i="34"/>
  <c r="D6" i="34"/>
  <c r="C6" i="34"/>
  <c r="B6" i="34"/>
  <c r="A6" i="34"/>
  <c r="H5" i="34"/>
  <c r="G5" i="34"/>
  <c r="F5" i="34"/>
  <c r="E5" i="34"/>
  <c r="D5" i="34"/>
  <c r="C5" i="34"/>
  <c r="B5" i="34"/>
  <c r="A5" i="34"/>
  <c r="H4" i="34"/>
  <c r="G4" i="34"/>
  <c r="F4" i="34"/>
  <c r="E4" i="34"/>
  <c r="D4" i="34"/>
  <c r="C4" i="34"/>
  <c r="B4" i="34"/>
  <c r="A4" i="34"/>
  <c r="I1" i="34"/>
  <c r="Q21" i="33"/>
  <c r="I21" i="33"/>
  <c r="L8" i="33"/>
  <c r="G8" i="33"/>
  <c r="C8" i="33"/>
  <c r="L5" i="33"/>
  <c r="C5" i="33"/>
  <c r="R3" i="33"/>
  <c r="P3" i="33"/>
  <c r="J3" i="33"/>
  <c r="P2" i="33"/>
  <c r="Q27" i="32"/>
  <c r="I27" i="32"/>
  <c r="F20" i="32"/>
  <c r="F19" i="32"/>
  <c r="F18" i="32"/>
  <c r="N14" i="32"/>
  <c r="F17" i="32"/>
  <c r="N13" i="32"/>
  <c r="F16" i="32"/>
  <c r="N12" i="32"/>
  <c r="F15" i="32"/>
  <c r="N11" i="32"/>
  <c r="F14" i="32"/>
  <c r="L7" i="32"/>
  <c r="G7" i="32"/>
  <c r="C7" i="32"/>
  <c r="L5" i="32"/>
  <c r="C5" i="32"/>
  <c r="R3" i="32"/>
  <c r="P3" i="32"/>
  <c r="J3" i="32"/>
  <c r="P2" i="32"/>
  <c r="Q21" i="31"/>
  <c r="I21" i="31"/>
  <c r="L8" i="31"/>
  <c r="G8" i="31"/>
  <c r="C8" i="31"/>
  <c r="L5" i="31"/>
  <c r="C5" i="31"/>
  <c r="R3" i="31"/>
  <c r="P3" i="31"/>
  <c r="J3" i="31"/>
  <c r="P2" i="31"/>
  <c r="S25" i="29"/>
  <c r="J25" i="29"/>
  <c r="G24" i="29"/>
  <c r="J20" i="29"/>
  <c r="J19" i="29"/>
  <c r="J18" i="29"/>
  <c r="D18" i="29"/>
  <c r="D17" i="29"/>
  <c r="J16" i="29"/>
  <c r="J15" i="29"/>
  <c r="D15" i="29"/>
  <c r="J14" i="29"/>
  <c r="D14" i="29"/>
  <c r="J13" i="29"/>
  <c r="D13" i="29"/>
  <c r="J12" i="29"/>
  <c r="D12" i="29"/>
  <c r="M9" i="29"/>
  <c r="H9" i="29"/>
  <c r="C9" i="29"/>
  <c r="N6" i="29"/>
  <c r="C6" i="29"/>
  <c r="T4" i="29"/>
  <c r="R4" i="29"/>
  <c r="W3" i="29"/>
  <c r="R2" i="29"/>
  <c r="I2" i="29"/>
  <c r="E2" i="29"/>
  <c r="Q23" i="27"/>
  <c r="I23" i="27"/>
  <c r="K18" i="27"/>
  <c r="I18" i="27"/>
  <c r="K17" i="27"/>
  <c r="I17" i="27"/>
  <c r="K16" i="27"/>
  <c r="I16" i="27"/>
  <c r="L9" i="27"/>
  <c r="G9" i="27"/>
  <c r="C9" i="27"/>
  <c r="L6" i="27"/>
  <c r="C6" i="27"/>
  <c r="R3" i="27"/>
  <c r="P3" i="27"/>
  <c r="P2" i="27"/>
  <c r="J2" i="27"/>
  <c r="C2" i="27"/>
  <c r="Q22" i="26"/>
  <c r="I22" i="26"/>
  <c r="E20" i="26"/>
  <c r="E19" i="26"/>
  <c r="E18" i="26"/>
  <c r="E17" i="26"/>
  <c r="N16" i="26"/>
  <c r="N15" i="26"/>
  <c r="E15" i="26"/>
  <c r="N14" i="26"/>
  <c r="E14" i="26"/>
  <c r="N13" i="26"/>
  <c r="E13" i="26"/>
  <c r="N12" i="26"/>
  <c r="E12" i="26"/>
  <c r="K9" i="26"/>
  <c r="G9" i="26"/>
  <c r="C9" i="26"/>
  <c r="L6" i="26"/>
  <c r="C6" i="26"/>
  <c r="R3" i="26"/>
  <c r="P3" i="26"/>
  <c r="P2" i="26"/>
  <c r="I2" i="26"/>
  <c r="C2" i="26"/>
  <c r="Q22" i="25"/>
  <c r="I22" i="25"/>
  <c r="N14" i="25"/>
  <c r="F14" i="25"/>
  <c r="N13" i="25"/>
  <c r="F13" i="25"/>
  <c r="N12" i="25"/>
  <c r="L9" i="25"/>
  <c r="G9" i="25"/>
  <c r="C9" i="25"/>
  <c r="L6" i="25"/>
  <c r="C6" i="25"/>
  <c r="R3" i="25"/>
  <c r="P3" i="25"/>
  <c r="P2" i="25"/>
  <c r="J2" i="25"/>
  <c r="C2" i="25"/>
  <c r="Q23" i="24"/>
  <c r="I23" i="24"/>
  <c r="N21" i="24"/>
  <c r="F21" i="24"/>
  <c r="N20" i="24"/>
  <c r="N19" i="24"/>
  <c r="F19" i="24"/>
  <c r="N18" i="24"/>
  <c r="F18" i="24"/>
  <c r="N17" i="24"/>
  <c r="F17" i="24"/>
  <c r="N16" i="24"/>
  <c r="F16" i="24"/>
  <c r="N15" i="24"/>
  <c r="F15" i="24"/>
  <c r="N14" i="24"/>
  <c r="F14" i="24"/>
  <c r="N13" i="24"/>
  <c r="F13" i="24"/>
  <c r="N12" i="24"/>
  <c r="F12" i="24"/>
  <c r="N11" i="24"/>
  <c r="F11" i="24"/>
  <c r="L8" i="24"/>
  <c r="G8" i="24"/>
  <c r="C8" i="24"/>
  <c r="L5" i="24"/>
  <c r="C5" i="24"/>
  <c r="R3" i="24"/>
  <c r="P3" i="24"/>
  <c r="J2" i="24"/>
  <c r="C2" i="24"/>
  <c r="S27" i="22"/>
  <c r="J27" i="22"/>
  <c r="D24" i="22"/>
  <c r="D23" i="22"/>
  <c r="J21" i="22"/>
  <c r="J20" i="22"/>
  <c r="J19" i="22"/>
  <c r="D19" i="22"/>
  <c r="J18" i="22"/>
  <c r="D18" i="22"/>
  <c r="J17" i="22"/>
  <c r="D17" i="22"/>
  <c r="J16" i="22"/>
  <c r="J15" i="22"/>
  <c r="D15" i="22"/>
  <c r="R14" i="22"/>
  <c r="J14" i="22"/>
  <c r="D14" i="22"/>
  <c r="R13" i="22"/>
  <c r="J13" i="22"/>
  <c r="D13" i="22"/>
  <c r="R12" i="22"/>
  <c r="D12" i="22"/>
  <c r="D11" i="22" s="1"/>
  <c r="J11" i="22"/>
  <c r="K8" i="22"/>
  <c r="H8" i="22"/>
  <c r="C8" i="22"/>
  <c r="K5" i="22"/>
  <c r="C5" i="22"/>
  <c r="S4" i="22"/>
  <c r="P4" i="22"/>
  <c r="J2" i="22"/>
  <c r="D2" i="22"/>
  <c r="E24" i="35" l="1"/>
  <c r="C33" i="35"/>
  <c r="C28" i="35"/>
  <c r="C27" i="35"/>
  <c r="K20" i="22"/>
  <c r="K19" i="22"/>
  <c r="K13" i="22"/>
  <c r="K16" i="22"/>
  <c r="C31" i="35"/>
  <c r="D11" i="35"/>
  <c r="D19" i="35" s="1"/>
  <c r="F21" i="32"/>
  <c r="B10" i="35"/>
  <c r="F10" i="35" s="1"/>
  <c r="B17" i="35"/>
  <c r="F17" i="35" s="1"/>
  <c r="K18" i="22"/>
  <c r="K14" i="22"/>
  <c r="K17" i="22"/>
  <c r="B16" i="35"/>
  <c r="F16" i="35" s="1"/>
  <c r="K15" i="22"/>
  <c r="C14" i="35"/>
  <c r="C19" i="35" s="1"/>
  <c r="E23" i="35"/>
  <c r="F12" i="35"/>
  <c r="B13" i="35"/>
  <c r="F13" i="35" s="1"/>
  <c r="B8" i="35"/>
  <c r="F11" i="35" l="1"/>
  <c r="B19" i="35"/>
  <c r="E20" i="35" s="1"/>
  <c r="F8" i="35"/>
  <c r="F14" i="35"/>
  <c r="K21" i="22"/>
  <c r="F19" i="35" l="1"/>
</calcChain>
</file>

<file path=xl/sharedStrings.xml><?xml version="1.0" encoding="utf-8"?>
<sst xmlns="http://schemas.openxmlformats.org/spreadsheetml/2006/main" count="2438" uniqueCount="631">
  <si>
    <t>PATERNO</t>
  </si>
  <si>
    <t>MATERNO</t>
  </si>
  <si>
    <t>NOMBRES</t>
  </si>
  <si>
    <t xml:space="preserve">EDAD </t>
  </si>
  <si>
    <t>GENERO</t>
  </si>
  <si>
    <t>NOMBRE COMPLETO</t>
  </si>
  <si>
    <t>MEDICO SOLICITANTE</t>
  </si>
  <si>
    <t>FECHA DE SOLICITUD</t>
  </si>
  <si>
    <t>FECHA DE REPORTE</t>
  </si>
  <si>
    <t>RESPONSABLE</t>
  </si>
  <si>
    <t>PENDIENTES/ OBSERVACIONES</t>
  </si>
  <si>
    <t>HTO</t>
  </si>
  <si>
    <t>HB</t>
  </si>
  <si>
    <t>V.C.M.</t>
  </si>
  <si>
    <t>H.C.M.</t>
  </si>
  <si>
    <t>C.H.C.M.</t>
  </si>
  <si>
    <t>GLOBULOS BLANCOS</t>
  </si>
  <si>
    <t>SEG</t>
  </si>
  <si>
    <t>LINF.</t>
  </si>
  <si>
    <t>MON.</t>
  </si>
  <si>
    <t xml:space="preserve">EOSI. </t>
  </si>
  <si>
    <t>CAY.</t>
  </si>
  <si>
    <t>TOTAL</t>
  </si>
  <si>
    <t>PLAQUETAS</t>
  </si>
  <si>
    <t>ACTIVIDAD</t>
  </si>
  <si>
    <t>INR</t>
  </si>
  <si>
    <t>COMENTARIO SERIE ROJA</t>
  </si>
  <si>
    <t>COMENTARIO PLAQUETAS</t>
  </si>
  <si>
    <t>OBSERVACIONES</t>
  </si>
  <si>
    <t>QUMICAS</t>
  </si>
  <si>
    <t>NUS</t>
  </si>
  <si>
    <t>UREA</t>
  </si>
  <si>
    <t>ACIDO URICO</t>
  </si>
  <si>
    <t xml:space="preserve">COL </t>
  </si>
  <si>
    <t>TRI</t>
  </si>
  <si>
    <t>HDL</t>
  </si>
  <si>
    <t>LDL</t>
  </si>
  <si>
    <t>GOT</t>
  </si>
  <si>
    <t>GPT</t>
  </si>
  <si>
    <t>FAL</t>
  </si>
  <si>
    <t>BD</t>
  </si>
  <si>
    <t>BI</t>
  </si>
  <si>
    <t>BT</t>
  </si>
  <si>
    <t>PROT</t>
  </si>
  <si>
    <t>ALB</t>
  </si>
  <si>
    <t>REL ALB/GLO</t>
  </si>
  <si>
    <t>GLOBULINAS</t>
  </si>
  <si>
    <t>HBA 1C</t>
  </si>
  <si>
    <t>AMILASA</t>
  </si>
  <si>
    <t>SODIO</t>
  </si>
  <si>
    <t>POTASIO</t>
  </si>
  <si>
    <t>CLORO</t>
  </si>
  <si>
    <t>PROT 24 HRS.</t>
  </si>
  <si>
    <t>CREA EN ORINA</t>
  </si>
  <si>
    <t>VOLUMEN</t>
  </si>
  <si>
    <t>SEROLOGIA</t>
  </si>
  <si>
    <t>PCR</t>
  </si>
  <si>
    <t>FR</t>
  </si>
  <si>
    <t>ASTO</t>
  </si>
  <si>
    <t>HIV</t>
  </si>
  <si>
    <t>TES. EMBARAZO</t>
  </si>
  <si>
    <t>RPR</t>
  </si>
  <si>
    <t>H. PYLORI EN SUERO</t>
  </si>
  <si>
    <t>HEPATITIS B</t>
  </si>
  <si>
    <t>WIDAL</t>
  </si>
  <si>
    <t>O</t>
  </si>
  <si>
    <t>H</t>
  </si>
  <si>
    <t>A</t>
  </si>
  <si>
    <t>B</t>
  </si>
  <si>
    <t>EGO</t>
  </si>
  <si>
    <t>COLOR</t>
  </si>
  <si>
    <t>ASPECTO</t>
  </si>
  <si>
    <t>OLOR</t>
  </si>
  <si>
    <t>PH</t>
  </si>
  <si>
    <t>DENSIDAD</t>
  </si>
  <si>
    <t>REACCION</t>
  </si>
  <si>
    <t>ESPUMA</t>
  </si>
  <si>
    <t>SEDIMENTO</t>
  </si>
  <si>
    <t>CETONAS</t>
  </si>
  <si>
    <t>GLUCOSA</t>
  </si>
  <si>
    <t>SANGRE</t>
  </si>
  <si>
    <t>UROBILINOGENO</t>
  </si>
  <si>
    <t>NITRITOS</t>
  </si>
  <si>
    <t>PIOCITOS</t>
  </si>
  <si>
    <t>ERITROCITOS</t>
  </si>
  <si>
    <t>LEUCOCITOS</t>
  </si>
  <si>
    <t>C. EPITELIALES</t>
  </si>
  <si>
    <t>BACTERIAS</t>
  </si>
  <si>
    <t>CEL. RENALES</t>
  </si>
  <si>
    <t>CRISTALES</t>
  </si>
  <si>
    <t>FILAMENTO MUCOSO</t>
  </si>
  <si>
    <t>CILINDROS</t>
  </si>
  <si>
    <t>Nº</t>
  </si>
  <si>
    <t>COD.</t>
  </si>
  <si>
    <t>MOCO</t>
  </si>
  <si>
    <t>MN%</t>
  </si>
  <si>
    <t>PMN%</t>
  </si>
  <si>
    <t>LIQUIDOS</t>
  </si>
  <si>
    <t>TIPO DE LIQUIDO</t>
  </si>
  <si>
    <t xml:space="preserve">LUEGO DE LA CENTRIFUGACION </t>
  </si>
  <si>
    <t>OBS.</t>
  </si>
  <si>
    <t>EXAMEN QUIMICO</t>
  </si>
  <si>
    <t>PROTEINAS</t>
  </si>
  <si>
    <t>EXAMEN MICROSCOPICO</t>
  </si>
  <si>
    <t>HEMATIES</t>
  </si>
  <si>
    <t>OTROS</t>
  </si>
  <si>
    <t>TOLERANCIA A LA GLUCOSA</t>
  </si>
  <si>
    <t>BASAL</t>
  </si>
  <si>
    <t>HORA</t>
  </si>
  <si>
    <t>BASO.</t>
  </si>
  <si>
    <t>Hrs.</t>
  </si>
  <si>
    <t>MASCULINO</t>
  </si>
  <si>
    <t>ELECTROLITOS</t>
  </si>
  <si>
    <t>mmol/L</t>
  </si>
  <si>
    <t>mg/dl</t>
  </si>
  <si>
    <t>ORINA DE 24 HRS.</t>
  </si>
  <si>
    <t>OBSERVACIONES:</t>
  </si>
  <si>
    <t>CREA</t>
  </si>
  <si>
    <t>%</t>
  </si>
  <si>
    <t>TIEMPO DE PROTROMBINA</t>
  </si>
  <si>
    <t>g/dl</t>
  </si>
  <si>
    <t>COMENTARIO SERIE BLANCA</t>
  </si>
  <si>
    <t>BIL. DIRECTA</t>
  </si>
  <si>
    <t>BIL. INDIRECTA</t>
  </si>
  <si>
    <t xml:space="preserve">COLOR: </t>
  </si>
  <si>
    <t xml:space="preserve">OBS. </t>
  </si>
  <si>
    <t>NO PROCEDE A RECUENTO DIFERENCIA</t>
  </si>
  <si>
    <t>PMN:</t>
  </si>
  <si>
    <t>MN:</t>
  </si>
  <si>
    <t>(&lt;150)</t>
  </si>
  <si>
    <t>BIL. TOTAL</t>
  </si>
  <si>
    <t>VLDL</t>
  </si>
  <si>
    <t>GLI</t>
  </si>
  <si>
    <t>P.C.R.</t>
  </si>
  <si>
    <t>LATEX</t>
  </si>
  <si>
    <t>UI/ml</t>
  </si>
  <si>
    <t>EBERTH O</t>
  </si>
  <si>
    <t>(hasta 200)</t>
  </si>
  <si>
    <t>TEST DE EMBARAZO:</t>
  </si>
  <si>
    <t>EBERTH H</t>
  </si>
  <si>
    <t>HEPATITIS B:</t>
  </si>
  <si>
    <t>BENEFICIARIO</t>
  </si>
  <si>
    <t>POLICLINICO</t>
  </si>
  <si>
    <t>CONSULTORIO</t>
  </si>
  <si>
    <t>TELE/CEL</t>
  </si>
  <si>
    <t>DIAGN</t>
  </si>
  <si>
    <t>VES 2HORA</t>
  </si>
  <si>
    <t>VES 1 HORA</t>
  </si>
  <si>
    <t>INDICE DE KATZ</t>
  </si>
  <si>
    <t>MICROALBUMINURIA</t>
  </si>
  <si>
    <t>Relación A/C.</t>
  </si>
  <si>
    <t xml:space="preserve">ALBUMINA </t>
  </si>
  <si>
    <t>CREATININA</t>
  </si>
  <si>
    <t>RETICULOCITOS</t>
  </si>
  <si>
    <t xml:space="preserve">VES 2 HORA: </t>
  </si>
  <si>
    <t>INDICE DE KATZ:</t>
  </si>
  <si>
    <t>PAISE EL ALTO</t>
  </si>
  <si>
    <t>MIELO</t>
  </si>
  <si>
    <t>METAMIE</t>
  </si>
  <si>
    <t>AÑOS</t>
  </si>
  <si>
    <t>GLICEMIA</t>
  </si>
  <si>
    <t>COLESTEROL</t>
  </si>
  <si>
    <t>Hb GLICOSILADA</t>
  </si>
  <si>
    <t>TRIGLICERID.</t>
  </si>
  <si>
    <t>(&gt;55)</t>
  </si>
  <si>
    <t>PROTEINAS TOTALES</t>
  </si>
  <si>
    <t>ALBUMINA</t>
  </si>
  <si>
    <t>U/l</t>
  </si>
  <si>
    <t>NOTA</t>
  </si>
  <si>
    <t>Hrs:</t>
  </si>
  <si>
    <t>T.G.O.</t>
  </si>
  <si>
    <t>VOLUMEN 24 Hrs.</t>
  </si>
  <si>
    <t>T.G.P.</t>
  </si>
  <si>
    <t>CREATININA EN ORINA</t>
  </si>
  <si>
    <t>mg/día</t>
  </si>
  <si>
    <t>PAL</t>
  </si>
  <si>
    <t>PROTEINAS EN ORINA</t>
  </si>
  <si>
    <t xml:space="preserve">(28 - 140)      </t>
  </si>
  <si>
    <t>(hasta 0.3)</t>
  </si>
  <si>
    <t>(hasta 0.7)</t>
  </si>
  <si>
    <t>(hasta 1)</t>
  </si>
  <si>
    <t>(135,0 – 148,0)</t>
  </si>
  <si>
    <t>(3,50 – 5,30)</t>
  </si>
  <si>
    <t xml:space="preserve">(98 – 107,0) </t>
  </si>
  <si>
    <t>V.I.H.:</t>
  </si>
  <si>
    <t>R.P.R.</t>
  </si>
  <si>
    <t>WIDAL:</t>
  </si>
  <si>
    <t>PARATIPHY A</t>
  </si>
  <si>
    <t>PARATIPHY B</t>
  </si>
  <si>
    <t>PSA PRUEBA RAPIDA</t>
  </si>
  <si>
    <t xml:space="preserve">H. PYLORI EN SUERO: </t>
  </si>
  <si>
    <t>NO REACTIVO</t>
  </si>
  <si>
    <t>POSITIVO</t>
  </si>
  <si>
    <t>NEGATIVO</t>
  </si>
  <si>
    <t>Hora</t>
  </si>
  <si>
    <t>60’</t>
  </si>
  <si>
    <t>120’</t>
  </si>
  <si>
    <t>RESULTADO</t>
  </si>
  <si>
    <t>1HORA</t>
  </si>
  <si>
    <t>2 HORA</t>
  </si>
  <si>
    <t>EXAMEN:</t>
  </si>
  <si>
    <t>BILIRRUBINAS</t>
  </si>
  <si>
    <t>HIALINOS</t>
  </si>
  <si>
    <t>GRANULOSO</t>
  </si>
  <si>
    <t>HEMATICO</t>
  </si>
  <si>
    <t>CEREO</t>
  </si>
  <si>
    <t xml:space="preserve">OBSERVACIONES1 </t>
  </si>
  <si>
    <t>OBSERVACIONES 2</t>
  </si>
  <si>
    <t>REACTIVO</t>
  </si>
  <si>
    <t>DEBIL POSITIVO</t>
  </si>
  <si>
    <t>Amarillo</t>
  </si>
  <si>
    <t>Ambar</t>
  </si>
  <si>
    <t>Ambar Oscuro</t>
  </si>
  <si>
    <t>Rojo</t>
  </si>
  <si>
    <t>Sanguinolento</t>
  </si>
  <si>
    <t>Verdoso</t>
  </si>
  <si>
    <t>Amarillo Claro</t>
  </si>
  <si>
    <t>Pardo</t>
  </si>
  <si>
    <t>Limpido</t>
  </si>
  <si>
    <t>Lig. Opalescente</t>
  </si>
  <si>
    <t>Opalescente</t>
  </si>
  <si>
    <t>Turbio</t>
  </si>
  <si>
    <t>Sui Generis</t>
  </si>
  <si>
    <t>Fetido</t>
  </si>
  <si>
    <t>Lig. Fetido</t>
  </si>
  <si>
    <t>Amoniacal</t>
  </si>
  <si>
    <t>Dulzón</t>
  </si>
  <si>
    <t>Fugaz</t>
  </si>
  <si>
    <t>Persistente</t>
  </si>
  <si>
    <t>Escasa</t>
  </si>
  <si>
    <t>Regular</t>
  </si>
  <si>
    <t>Moderada</t>
  </si>
  <si>
    <t>Abundante</t>
  </si>
  <si>
    <t>No Cont.</t>
  </si>
  <si>
    <t>Cont. +</t>
  </si>
  <si>
    <t>Cont. ++</t>
  </si>
  <si>
    <t>Cont. +++</t>
  </si>
  <si>
    <t>Trazas</t>
  </si>
  <si>
    <t>Indicios</t>
  </si>
  <si>
    <t>Contiene</t>
  </si>
  <si>
    <t>&gt; 250</t>
  </si>
  <si>
    <t>&gt; 500</t>
  </si>
  <si>
    <t>&gt; 1000</t>
  </si>
  <si>
    <t>&gt; 2000</t>
  </si>
  <si>
    <t>Normal</t>
  </si>
  <si>
    <t>Positivo</t>
  </si>
  <si>
    <t>Negativo</t>
  </si>
  <si>
    <t>EMERG.</t>
  </si>
  <si>
    <t>Ph:</t>
  </si>
  <si>
    <t>HEMATOLOGIA</t>
  </si>
  <si>
    <t>HEMATOCRITO:</t>
  </si>
  <si>
    <t>HEMOGLOBINA:</t>
  </si>
  <si>
    <t>g/dL</t>
  </si>
  <si>
    <t>Segmentados:</t>
  </si>
  <si>
    <t>Eosinofilos:</t>
  </si>
  <si>
    <t>Basófilos:</t>
  </si>
  <si>
    <t>Linfocitos:</t>
  </si>
  <si>
    <t>Monocitos:</t>
  </si>
  <si>
    <t>Total:</t>
  </si>
  <si>
    <t>FEMENINO</t>
  </si>
  <si>
    <t>Globulos Blancos:</t>
  </si>
  <si>
    <t>Elaborado por: Anahi Vigabriel C.</t>
  </si>
  <si>
    <t>DATOS DEL PACIENTE</t>
  </si>
  <si>
    <t>HEMOGRAMA</t>
  </si>
  <si>
    <t>COAGULOGRAMA</t>
  </si>
  <si>
    <t>ml/dia</t>
  </si>
  <si>
    <t>ESCASA</t>
  </si>
  <si>
    <t>REGULAR</t>
  </si>
  <si>
    <t>FRECUENTE</t>
  </si>
  <si>
    <t>ABUNDANTE</t>
  </si>
  <si>
    <t>CIMFA EL ALTO</t>
  </si>
  <si>
    <t>CIMFA VILLA TUNARI</t>
  </si>
  <si>
    <t>CIS ACHACACHI</t>
  </si>
  <si>
    <t>CIS VIACHA</t>
  </si>
  <si>
    <t>CIS COLOMI</t>
  </si>
  <si>
    <t>CIMFA VILLA ADELA</t>
  </si>
  <si>
    <t>COD</t>
  </si>
  <si>
    <t>MATRICULA</t>
  </si>
  <si>
    <t>EDAD</t>
  </si>
  <si>
    <t xml:space="preserve">GENERO </t>
  </si>
  <si>
    <t>URG</t>
  </si>
  <si>
    <t>LISTA DE ENTREGA DE RESULTADOS</t>
  </si>
  <si>
    <t>FIRMADE RECOJO</t>
  </si>
  <si>
    <t>GRUPO SANGUINEO</t>
  </si>
  <si>
    <t>"O" Rh POSITIVO (+)</t>
  </si>
  <si>
    <t>"A" Rh POSITIVO (+)</t>
  </si>
  <si>
    <t>"B" Rh POSITIVO (+)</t>
  </si>
  <si>
    <t>"AB" Rh POSITIVO (+)</t>
  </si>
  <si>
    <t>"O" Rh NEGATIVO (-)</t>
  </si>
  <si>
    <t>"A" Rh NEGATIVO (-)</t>
  </si>
  <si>
    <t>"B" Rh NEGATIVO (-)</t>
  </si>
  <si>
    <t>"AB" Rh NEGATIVO (-)</t>
  </si>
  <si>
    <t>(15 - 45)</t>
  </si>
  <si>
    <t>(7 - 21)</t>
  </si>
  <si>
    <t>(2.4 - 7.0)</t>
  </si>
  <si>
    <t>(&lt;125)</t>
  </si>
  <si>
    <t>(6.4 - 8.3)</t>
  </si>
  <si>
    <t>(3.5 - 5.0)</t>
  </si>
  <si>
    <t>Cayados:</t>
  </si>
  <si>
    <t>VES</t>
  </si>
  <si>
    <t>TS</t>
  </si>
  <si>
    <t>TC</t>
  </si>
  <si>
    <t>TP</t>
  </si>
  <si>
    <t>PARASITO</t>
  </si>
  <si>
    <t>A U</t>
  </si>
  <si>
    <t>HECES</t>
  </si>
  <si>
    <t>ORINA</t>
  </si>
  <si>
    <t>BIOQUIMICA</t>
  </si>
  <si>
    <t>ORINAS</t>
  </si>
  <si>
    <t>NA</t>
  </si>
  <si>
    <t>K</t>
  </si>
  <si>
    <t>CL</t>
  </si>
  <si>
    <t>CREA EN O</t>
  </si>
  <si>
    <t>VOL.</t>
  </si>
  <si>
    <t>ORINA 24 HORAS</t>
  </si>
  <si>
    <t>TEMB</t>
  </si>
  <si>
    <t>MICOLOGIA</t>
  </si>
  <si>
    <t>INMUNOSERO</t>
  </si>
  <si>
    <t>INMUNOCROMATOGRAFIA</t>
  </si>
  <si>
    <t>CITOLOGICO</t>
  </si>
  <si>
    <t>EGOS</t>
  </si>
  <si>
    <t>SED</t>
  </si>
  <si>
    <t>LIQ</t>
  </si>
  <si>
    <t>TOLER</t>
  </si>
  <si>
    <t>Patoligia</t>
  </si>
  <si>
    <t>Pruebas</t>
  </si>
  <si>
    <t>Muestras Procesadas</t>
  </si>
  <si>
    <t>Resultados Elevados</t>
  </si>
  <si>
    <t>DIABETES</t>
  </si>
  <si>
    <t>Glucosa</t>
  </si>
  <si>
    <t>HBA1C</t>
  </si>
  <si>
    <t>CURBA DE TG</t>
  </si>
  <si>
    <t>DISLIPIDEMIAS</t>
  </si>
  <si>
    <t>Colesterol</t>
  </si>
  <si>
    <t>Triglicéridos</t>
  </si>
  <si>
    <t>HDL-Colesterol</t>
  </si>
  <si>
    <t>LDL-Colesterol</t>
  </si>
  <si>
    <t>VLDL-Colesterol</t>
  </si>
  <si>
    <t>ENFERMEDAD RENAL</t>
  </si>
  <si>
    <t>Creatinina</t>
  </si>
  <si>
    <t>Examen general de orina</t>
  </si>
  <si>
    <t>Microalbuminuria</t>
  </si>
  <si>
    <t>Proteinuria de 24 horas</t>
  </si>
  <si>
    <t>M</t>
  </si>
  <si>
    <t>F</t>
  </si>
  <si>
    <t>EMB</t>
  </si>
  <si>
    <t>PSA</t>
  </si>
  <si>
    <t>H.P.</t>
  </si>
  <si>
    <t>HEPATITIS</t>
  </si>
  <si>
    <t>MICROALB</t>
  </si>
  <si>
    <t>COPRO</t>
  </si>
  <si>
    <t>SUERO/PLAS</t>
  </si>
  <si>
    <t>M. EMB</t>
  </si>
  <si>
    <t>GENERAL</t>
  </si>
  <si>
    <t>PLAQ</t>
  </si>
  <si>
    <t xml:space="preserve">PRO24 </t>
  </si>
  <si>
    <t>CRE</t>
  </si>
  <si>
    <t>A URICO</t>
  </si>
  <si>
    <t>COL</t>
  </si>
  <si>
    <t>AMILA</t>
  </si>
  <si>
    <t>FALC</t>
  </si>
  <si>
    <t>BIL T</t>
  </si>
  <si>
    <t>BIL D</t>
  </si>
  <si>
    <t>ALTOS</t>
  </si>
  <si>
    <t>BAJOS</t>
  </si>
  <si>
    <t>FECHA:</t>
  </si>
  <si>
    <t>GB</t>
  </si>
  <si>
    <t>DIF</t>
  </si>
  <si>
    <t>GS</t>
  </si>
  <si>
    <t>RET</t>
  </si>
  <si>
    <t>EMERGENCIA</t>
  </si>
  <si>
    <t>RUTINA</t>
  </si>
  <si>
    <t>CIMFA</t>
  </si>
  <si>
    <t>PAISE</t>
  </si>
  <si>
    <t>NUMERO DE PACIENTES ATENDIDOS</t>
  </si>
  <si>
    <t>N° de Asegurado:</t>
  </si>
  <si>
    <t>Edad</t>
  </si>
  <si>
    <t>Cod. Asegurado:</t>
  </si>
  <si>
    <t>Nombre y Apellidos</t>
  </si>
  <si>
    <t>Centro Asistencial</t>
  </si>
  <si>
    <t>Medico Solicitante</t>
  </si>
  <si>
    <t>Policlinico o Servicio</t>
  </si>
  <si>
    <t>Consultorio</t>
  </si>
  <si>
    <t>Fecha de Solicitud</t>
  </si>
  <si>
    <t>ABUNDANTES</t>
  </si>
  <si>
    <t>Fecha de Reporte:</t>
  </si>
  <si>
    <t>Cod. Beneficiario:</t>
  </si>
  <si>
    <t>Edad:</t>
  </si>
  <si>
    <t>QUIMICA SANGUINEA</t>
  </si>
  <si>
    <t>Cantidad:</t>
  </si>
  <si>
    <t>ml</t>
  </si>
  <si>
    <t>Color:</t>
  </si>
  <si>
    <t>Olor:</t>
  </si>
  <si>
    <t>Aspecto:</t>
  </si>
  <si>
    <t>Espuma:</t>
  </si>
  <si>
    <t>Otros</t>
  </si>
  <si>
    <t>Sedimento:</t>
  </si>
  <si>
    <t>Densidad:</t>
  </si>
  <si>
    <t>pH:</t>
  </si>
  <si>
    <t>Proteinas:</t>
  </si>
  <si>
    <t>Glucosa:</t>
  </si>
  <si>
    <t>Cetonas:</t>
  </si>
  <si>
    <t>Bilirrubinas:</t>
  </si>
  <si>
    <t>Sangre:</t>
  </si>
  <si>
    <t>Urobilinogeno:</t>
  </si>
  <si>
    <t>Nitritos:</t>
  </si>
  <si>
    <t>EXAMEN MICROSCOPICO (por campo)</t>
  </si>
  <si>
    <t>Leucocitos:</t>
  </si>
  <si>
    <t>Hematies:</t>
  </si>
  <si>
    <t>Bacterias:</t>
  </si>
  <si>
    <t>Cel. Renales:</t>
  </si>
  <si>
    <t>Piocitos:</t>
  </si>
  <si>
    <t>Cristales:</t>
  </si>
  <si>
    <t>Cel. Epitelia.:</t>
  </si>
  <si>
    <t>Cilindros:</t>
  </si>
  <si>
    <t>Hialinos:</t>
  </si>
  <si>
    <t>Granulosos:</t>
  </si>
  <si>
    <t>Hematicos:</t>
  </si>
  <si>
    <t>Pigmentarios:</t>
  </si>
  <si>
    <t>Cereos:</t>
  </si>
  <si>
    <t>Otros:</t>
  </si>
  <si>
    <t>Fil. Mucoso:</t>
  </si>
  <si>
    <t>EXAMEN GENERAL DE ORINA</t>
  </si>
  <si>
    <t>Observaciones 1:</t>
  </si>
  <si>
    <t>Observaciones 2:</t>
  </si>
  <si>
    <t>Hematocrito:</t>
  </si>
  <si>
    <t>Hemoglobina:</t>
  </si>
  <si>
    <t>Plaquetas:</t>
  </si>
  <si>
    <t>uL</t>
  </si>
  <si>
    <t>CAJA NACIONAL DE SALUD - PAISE EL ALTO</t>
  </si>
  <si>
    <t>SERVICIO DE LABORATORIO CLINICO</t>
  </si>
  <si>
    <t>A.V.C.:</t>
  </si>
  <si>
    <t>RESULTADOS DE LABORATORIO</t>
  </si>
  <si>
    <t>BENEF:</t>
  </si>
  <si>
    <t>NOMBRES Y APELLIDOS:</t>
  </si>
  <si>
    <t>EDAD:</t>
  </si>
  <si>
    <t>ã</t>
  </si>
  <si>
    <t>FECHA DE SOLICITUD:</t>
  </si>
  <si>
    <t>GENERO:</t>
  </si>
  <si>
    <t>SOLICITADO POR:</t>
  </si>
  <si>
    <t>LÍQUIDO</t>
  </si>
  <si>
    <t>EXAMEN FISICO</t>
  </si>
  <si>
    <t>VOLUMEN:</t>
  </si>
  <si>
    <t xml:space="preserve">ASPECTO: </t>
  </si>
  <si>
    <t xml:space="preserve">PH:  </t>
  </si>
  <si>
    <t>REACCIÓN:</t>
  </si>
  <si>
    <t>OTROS:</t>
  </si>
  <si>
    <t>LUEGO DE LA CENTRIFUGACION</t>
  </si>
  <si>
    <t xml:space="preserve">GLUCOSA: </t>
  </si>
  <si>
    <t xml:space="preserve">PROTEINAS: </t>
  </si>
  <si>
    <t>EXAMEN CITOLOGICO MICROSCOPICO</t>
  </si>
  <si>
    <t>cel/mm3</t>
  </si>
  <si>
    <t>EXAMEN SEDIMENTO EN FRESCO</t>
  </si>
  <si>
    <t>POR CAMPO</t>
  </si>
  <si>
    <t>Hematíes:</t>
  </si>
  <si>
    <t>Observaciones:</t>
  </si>
  <si>
    <t>FIRMA Y SELLO DEL RESPONSABLE</t>
  </si>
  <si>
    <t>CONSUL/ESPECIAL.:</t>
  </si>
  <si>
    <t>CEFALORRAQUIDEO</t>
  </si>
  <si>
    <t>PLEURAL</t>
  </si>
  <si>
    <t>SINOVIAL</t>
  </si>
  <si>
    <t>ASCITICO</t>
  </si>
  <si>
    <t>PERITONEAL</t>
  </si>
  <si>
    <t>Hematocrito</t>
  </si>
  <si>
    <t>Hemoglobina</t>
  </si>
  <si>
    <t>Reticulocitos</t>
  </si>
  <si>
    <t>Eritrosedimentacion</t>
  </si>
  <si>
    <t>Grupo sanguineo</t>
  </si>
  <si>
    <t>Globulos Rojos:</t>
  </si>
  <si>
    <t>Ul</t>
  </si>
  <si>
    <t>1ra. Hr</t>
  </si>
  <si>
    <t>Formula Diferencial</t>
  </si>
  <si>
    <t>Mielocitos</t>
  </si>
  <si>
    <t>Metamielocitos</t>
  </si>
  <si>
    <t>Cayados</t>
  </si>
  <si>
    <t>Segmentados</t>
  </si>
  <si>
    <t>Eosinofilos</t>
  </si>
  <si>
    <t>Basófilos</t>
  </si>
  <si>
    <t>Linfocitos</t>
  </si>
  <si>
    <t>Monocitos</t>
  </si>
  <si>
    <t>Plaquetas</t>
  </si>
  <si>
    <t>T. de Protrombina</t>
  </si>
  <si>
    <t>Actividad</t>
  </si>
  <si>
    <t>T. de Sangria</t>
  </si>
  <si>
    <t>T. de Coagulacion</t>
  </si>
  <si>
    <t>seg.</t>
  </si>
  <si>
    <t>min</t>
  </si>
  <si>
    <t>Comentario Serie Roja:</t>
  </si>
  <si>
    <t>Comentario Serie Blanca:</t>
  </si>
  <si>
    <t>Comentario Plaquetas:</t>
  </si>
  <si>
    <t>ESCASAS</t>
  </si>
  <si>
    <t>REGULARES</t>
  </si>
  <si>
    <t>LIG. AUMENTADAS</t>
  </si>
  <si>
    <t>AUMENTADAS</t>
  </si>
  <si>
    <t>Naranja</t>
  </si>
  <si>
    <t>Amarillo Paja</t>
  </si>
  <si>
    <t>TIEMPO DE PROTROMBINA:</t>
  </si>
  <si>
    <t>ACTIVIDAD:</t>
  </si>
  <si>
    <t>INR:</t>
  </si>
  <si>
    <t>Seg.</t>
  </si>
  <si>
    <t>Tiempo de Sangria:</t>
  </si>
  <si>
    <t>Tiempo de Coagulacion:</t>
  </si>
  <si>
    <t>seg</t>
  </si>
  <si>
    <t>TIEMPO DE SANGRIA      MINUTOS</t>
  </si>
  <si>
    <t>TIEMPO DE SANGRIA      SEGUNDOS</t>
  </si>
  <si>
    <t>T. DE COAGULACION      MINUTOS</t>
  </si>
  <si>
    <t>T. DE COAGULACION      SEGUNDOS</t>
  </si>
  <si>
    <t xml:space="preserve"> </t>
  </si>
  <si>
    <t>(70 - 110)</t>
  </si>
  <si>
    <t>(0.4 - 1.4)</t>
  </si>
  <si>
    <t>(120-190)</t>
  </si>
  <si>
    <t>(60-150)</t>
  </si>
  <si>
    <t>(10-39)</t>
  </si>
  <si>
    <t>(10-37)</t>
  </si>
  <si>
    <t>ESPERMATOGRAMA</t>
  </si>
  <si>
    <t>EXAMEN MACROSCOPICO</t>
  </si>
  <si>
    <t>PARAMETRO</t>
  </si>
  <si>
    <t>Nombres y Apellidos</t>
  </si>
  <si>
    <t>DX:</t>
  </si>
  <si>
    <t>SEDIMENTO URINARIO</t>
  </si>
  <si>
    <t>EBERTH O:</t>
  </si>
  <si>
    <t>EBERTH H:</t>
  </si>
  <si>
    <t>PARATIPHY A:</t>
  </si>
  <si>
    <t>PARATIPHY B:</t>
  </si>
  <si>
    <t>Fecha y hora de Obtecion de muestra:</t>
  </si>
  <si>
    <t>Hora de Recepcion en Laboratorio:</t>
  </si>
  <si>
    <t>Dias de Abstinencia:</t>
  </si>
  <si>
    <t>VISCOSIDAD:</t>
  </si>
  <si>
    <t>COLOR:</t>
  </si>
  <si>
    <t>ASPECTO:</t>
  </si>
  <si>
    <t>LICUEFACCION:</t>
  </si>
  <si>
    <t>COAGULACION:</t>
  </si>
  <si>
    <t>OLOR:</t>
  </si>
  <si>
    <t>MODERADAS</t>
  </si>
  <si>
    <t>(4 - 6)</t>
  </si>
  <si>
    <t>MICROALBUMINURIA:</t>
  </si>
  <si>
    <t>-</t>
  </si>
  <si>
    <t xml:space="preserve">GRUPO SANGUINEO: </t>
  </si>
  <si>
    <t>Amarillo Oscuro</t>
  </si>
  <si>
    <t>Lig. Turbio</t>
  </si>
  <si>
    <t>A/C</t>
  </si>
  <si>
    <t>mg/dL</t>
  </si>
  <si>
    <t>(&lt;0,8)</t>
  </si>
  <si>
    <t>(hasta 115)</t>
  </si>
  <si>
    <t>(&lt;8)</t>
  </si>
  <si>
    <t>X</t>
  </si>
  <si>
    <t>SALLINAS</t>
  </si>
  <si>
    <t>ASQUICHO</t>
  </si>
  <si>
    <t>FELIPA</t>
  </si>
  <si>
    <t>800720 GSE</t>
  </si>
  <si>
    <t>NEUMOLOGIA</t>
  </si>
  <si>
    <t>DR. RADA</t>
  </si>
  <si>
    <t>&lt;0,8</t>
  </si>
  <si>
    <t xml:space="preserve">ROJAS </t>
  </si>
  <si>
    <t>ALANOCA</t>
  </si>
  <si>
    <t>RAQUEL</t>
  </si>
  <si>
    <t>805910 RAR</t>
  </si>
  <si>
    <t>ID</t>
  </si>
  <si>
    <t>REUMATOLOGIA</t>
  </si>
  <si>
    <t>DR. CHAVARRIA</t>
  </si>
  <si>
    <t>FOSFATA ALCALINA   NHR</t>
  </si>
  <si>
    <t>MAMANI</t>
  </si>
  <si>
    <t>CANAVIRI</t>
  </si>
  <si>
    <t>ROSMERY</t>
  </si>
  <si>
    <t>770729 CTF</t>
  </si>
  <si>
    <t>DR. TARIFA</t>
  </si>
  <si>
    <t>0-1XC</t>
  </si>
  <si>
    <t>0-2XC</t>
  </si>
  <si>
    <t>CONDORI</t>
  </si>
  <si>
    <t>MOYA</t>
  </si>
  <si>
    <t>ALEIDA</t>
  </si>
  <si>
    <t>810824 CGE</t>
  </si>
  <si>
    <t>GINECOLOGIA</t>
  </si>
  <si>
    <t>DR. PRIETO</t>
  </si>
  <si>
    <t>VARGAS</t>
  </si>
  <si>
    <t>ARUQUIPA</t>
  </si>
  <si>
    <t>MILLER</t>
  </si>
  <si>
    <t>820716 VAM</t>
  </si>
  <si>
    <t>DR. CHAPARRO</t>
  </si>
  <si>
    <t>&lt;8</t>
  </si>
  <si>
    <t>7-15XC</t>
  </si>
  <si>
    <t>8-7XC</t>
  </si>
  <si>
    <t>SIRPA</t>
  </si>
  <si>
    <t>ANCELMO</t>
  </si>
  <si>
    <t>530421 SSA</t>
  </si>
  <si>
    <t>CARDIOLOGIA</t>
  </si>
  <si>
    <t>DR. ZAMBRANA</t>
  </si>
  <si>
    <t>LEOCA</t>
  </si>
  <si>
    <t>CONZI AMALIA</t>
  </si>
  <si>
    <t>795222 CLC</t>
  </si>
  <si>
    <t>PACO</t>
  </si>
  <si>
    <t>JUAN</t>
  </si>
  <si>
    <t>430610 CPJ</t>
  </si>
  <si>
    <t>COPA</t>
  </si>
  <si>
    <t>BENIZ</t>
  </si>
  <si>
    <t>JULIO RAUL</t>
  </si>
  <si>
    <t>680412 CBJ</t>
  </si>
  <si>
    <t>ACERO</t>
  </si>
  <si>
    <t>ESPINAL</t>
  </si>
  <si>
    <t>MARIA ELENA</t>
  </si>
  <si>
    <t>685606 AEM</t>
  </si>
  <si>
    <t>C-18</t>
  </si>
  <si>
    <t>DRA. CASTILLO</t>
  </si>
  <si>
    <t>CHOQUE</t>
  </si>
  <si>
    <t>VILLCA</t>
  </si>
  <si>
    <t>AMALIA</t>
  </si>
  <si>
    <t>571031 RCQ</t>
  </si>
  <si>
    <t>C-12</t>
  </si>
  <si>
    <t>DR. MARQUEZ</t>
  </si>
  <si>
    <t>PAREDES</t>
  </si>
  <si>
    <t>POLICARPIO</t>
  </si>
  <si>
    <t>661207 PCP</t>
  </si>
  <si>
    <t>CONTRERAS</t>
  </si>
  <si>
    <t>ALI</t>
  </si>
  <si>
    <t>OVIDIO</t>
  </si>
  <si>
    <t>850501 CAO</t>
  </si>
  <si>
    <t>C-45</t>
  </si>
  <si>
    <t>DR. AGUAYO</t>
  </si>
  <si>
    <t>CHURA</t>
  </si>
  <si>
    <t>HUACOTO</t>
  </si>
  <si>
    <t>ANGELINO</t>
  </si>
  <si>
    <t>570805 CHA</t>
  </si>
  <si>
    <t>TORREZ</t>
  </si>
  <si>
    <t>DELIA</t>
  </si>
  <si>
    <t>890805 CCH</t>
  </si>
  <si>
    <t>DRA. CHAMBI</t>
  </si>
  <si>
    <t>YUJRA</t>
  </si>
  <si>
    <t>CACHI</t>
  </si>
  <si>
    <t>ALEJANDRO</t>
  </si>
  <si>
    <t>810101 YCA</t>
  </si>
  <si>
    <t>&lt;200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</si>
</sst>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-* #,##0.00\ _€_-;\-* #,##0.00\ _€_-;_-* &quot;-&quot;??\ _€_-;_-@_-"/>
    <numFmt numFmtId="166" formatCode="_ * #,##0.0_ ;_ * \-#,##0.0_ ;_ * &quot;-&quot;??_ ;_ @_ "/>
    <numFmt numFmtId="167" formatCode="_ * #,##0_ ;_ * \-#,##0_ ;_ * &quot;-&quot;??_ ;_ @_ "/>
    <numFmt numFmtId="168" formatCode="_ * #,##0.00_ ;_ * \-#,##0.00_ ;_ * &quot;-&quot;??_ ;_ @_ "/>
    <numFmt numFmtId="169" formatCode="[$-400A]dddd\,\ dd&quot; de &quot;mmmm&quot; de &quot;yyyy;@"/>
    <numFmt numFmtId="170" formatCode="0.0"/>
    <numFmt numFmtId="171" formatCode="_(* #,##0.0_);_(* \(#,##0.0\);_(* &quot;-&quot;_);_(@_)"/>
    <numFmt numFmtId="172" formatCode="h:mm:ss;@"/>
    <numFmt numFmtId="173" formatCode="#,##0_ ;\-#,##0\ "/>
    <numFmt numFmtId="174" formatCode="[$-400A]dddd\ d&quot; de &quot;mmmm&quot; de &quot;yyyy;@"/>
    <numFmt numFmtId="175" formatCode="[$-2C0A]dddd\,\ dd&quot; de &quot;mmmm&quot; de &quot;yyyy;@"/>
    <numFmt numFmtId="176" formatCode="dd/mm/yyyy;@"/>
    <numFmt numFmtId="177" formatCode="#\ ???/???"/>
    <numFmt numFmtId="178" formatCode="_(* #,##0.00_);_(* \(#,##0.00\);_(* &quot;-&quot;??_);_(@_)"/>
    <numFmt numFmtId="179" formatCode="_(* #,##0_);_(* \(#,##0\);_(* &quot;-&quot;??_);_(@_)"/>
    <numFmt numFmtId="180" formatCode="_(* #,##0.0_);_(* \(#,##0.0\);_(* &quot;-&quot;??_);_(@_)"/>
    <numFmt numFmtId="181" formatCode="_-* #,##0.0_-;\-* #,##0.0_-;_-* &quot;-&quot;??_-;_-@_-"/>
    <numFmt numFmtId="182" formatCode="_-* #,##0\ _€_-;\-* #,##0\ _€_-;_-* &quot;-&quot;??\ _€_-;_-@_-"/>
    <numFmt numFmtId="183" formatCode="_-* #,##0_-;\-* #,##0_-;_-* &quot;-&quot;??_-;_-@_-"/>
  </numFmts>
  <fonts count="7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2"/>
      <name val="Calibri"/>
      <family val="2"/>
    </font>
    <font>
      <sz val="8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14"/>
      <name val="Calibri"/>
      <family val="2"/>
    </font>
    <font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indexed="9"/>
      <name val="Calibri"/>
      <family val="2"/>
    </font>
    <font>
      <i/>
      <sz val="11"/>
      <name val="Calibri"/>
      <family val="2"/>
    </font>
    <font>
      <b/>
      <sz val="24"/>
      <color theme="1"/>
      <name val="Calibri"/>
      <family val="2"/>
      <scheme val="minor"/>
    </font>
    <font>
      <b/>
      <sz val="25"/>
      <name val="Calibri"/>
      <family val="2"/>
    </font>
    <font>
      <sz val="15"/>
      <name val="Calibri"/>
      <family val="2"/>
    </font>
    <font>
      <i/>
      <sz val="10"/>
      <name val="Calibri"/>
      <family val="2"/>
    </font>
    <font>
      <sz val="11"/>
      <color indexed="22"/>
      <name val="Calibri"/>
      <family val="2"/>
    </font>
    <font>
      <b/>
      <sz val="11"/>
      <name val="Calibri"/>
      <family val="2"/>
    </font>
    <font>
      <sz val="16"/>
      <name val="Calibri"/>
      <family val="2"/>
    </font>
    <font>
      <sz val="14"/>
      <name val="Calibri"/>
      <family val="2"/>
    </font>
    <font>
      <b/>
      <u/>
      <sz val="12"/>
      <name val="Calibri"/>
      <family val="2"/>
    </font>
    <font>
      <b/>
      <sz val="36"/>
      <name val="Calibri"/>
      <family val="2"/>
    </font>
    <font>
      <b/>
      <sz val="10"/>
      <color rgb="FF002060"/>
      <name val="Arial"/>
      <family val="2"/>
    </font>
    <font>
      <b/>
      <sz val="20"/>
      <name val="Calibri"/>
      <family val="2"/>
    </font>
    <font>
      <b/>
      <u/>
      <sz val="14"/>
      <name val="Calibri"/>
      <family val="2"/>
    </font>
    <font>
      <b/>
      <u val="singleAccounting"/>
      <sz val="11"/>
      <name val="Calibri"/>
      <family val="2"/>
    </font>
    <font>
      <b/>
      <i/>
      <sz val="5"/>
      <name val="Calibri"/>
      <family val="2"/>
    </font>
    <font>
      <i/>
      <sz val="5"/>
      <name val="Calibri"/>
      <family val="2"/>
    </font>
    <font>
      <b/>
      <sz val="28"/>
      <name val="Calibri"/>
      <family val="2"/>
    </font>
    <font>
      <b/>
      <sz val="9"/>
      <color theme="1"/>
      <name val="Calibri"/>
      <family val="2"/>
      <scheme val="minor"/>
    </font>
    <font>
      <b/>
      <u/>
      <sz val="16"/>
      <name val="Aharoni"/>
      <charset val="177"/>
    </font>
    <font>
      <sz val="20"/>
      <color theme="1"/>
      <name val="Calibri"/>
      <family val="2"/>
      <scheme val="minor"/>
    </font>
    <font>
      <b/>
      <u/>
      <sz val="10"/>
      <name val="Calibri"/>
      <family val="2"/>
    </font>
    <font>
      <b/>
      <i/>
      <sz val="10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Aharoni"/>
      <charset val="177"/>
    </font>
    <font>
      <sz val="18"/>
      <color theme="1"/>
      <name val="Aharoni"/>
      <charset val="177"/>
    </font>
    <font>
      <b/>
      <sz val="24"/>
      <color theme="1"/>
      <name val="Aharoni"/>
      <charset val="177"/>
    </font>
    <font>
      <b/>
      <sz val="26"/>
      <color theme="1"/>
      <name val="Aharoni"/>
      <charset val="177"/>
    </font>
    <font>
      <i/>
      <sz val="8"/>
      <name val="Calibri"/>
      <family val="2"/>
    </font>
    <font>
      <b/>
      <i/>
      <sz val="9"/>
      <name val="Calibri"/>
      <family val="2"/>
    </font>
    <font>
      <b/>
      <i/>
      <sz val="11"/>
      <name val="Calibri"/>
      <family val="2"/>
    </font>
    <font>
      <b/>
      <sz val="9"/>
      <color rgb="FF002060"/>
      <name val="Berlin Sans FB Demi"/>
      <family val="2"/>
    </font>
    <font>
      <b/>
      <sz val="20"/>
      <color rgb="FF7030A0"/>
      <name val="Calibri"/>
      <family val="2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b/>
      <sz val="12"/>
      <color rgb="FF002060"/>
      <name val="Calibri"/>
      <family val="2"/>
    </font>
    <font>
      <sz val="7"/>
      <name val="Calibri"/>
      <family val="2"/>
    </font>
    <font>
      <b/>
      <i/>
      <u/>
      <sz val="11"/>
      <color rgb="FFFF0000"/>
      <name val="Calibri"/>
      <family val="2"/>
    </font>
    <font>
      <sz val="12"/>
      <color rgb="FF0070C0"/>
      <name val="Berlin Sans FB Demi"/>
      <family val="2"/>
    </font>
    <font>
      <sz val="12"/>
      <name val="Berlin Sans FB Demi"/>
      <family val="2"/>
    </font>
    <font>
      <b/>
      <sz val="11"/>
      <color rgb="FF0070C0"/>
      <name val="Calibri"/>
      <family val="2"/>
      <scheme val="minor"/>
    </font>
    <font>
      <sz val="10"/>
      <color rgb="FF0070C0"/>
      <name val="Calibri"/>
      <family val="2"/>
    </font>
    <font>
      <b/>
      <sz val="4"/>
      <color theme="1"/>
      <name val="Calibri"/>
      <family val="2"/>
      <scheme val="minor"/>
    </font>
    <font>
      <b/>
      <sz val="3"/>
      <color theme="1"/>
      <name val="Calibri"/>
      <family val="2"/>
      <scheme val="minor"/>
    </font>
    <font>
      <sz val="8"/>
      <color rgb="FF0070C0"/>
      <name val="Calibri"/>
      <family val="2"/>
    </font>
    <font>
      <b/>
      <sz val="10"/>
      <color rgb="FF0070C0"/>
      <name val="Calibri"/>
      <family val="2"/>
      <scheme val="minor"/>
    </font>
    <font>
      <b/>
      <sz val="9"/>
      <color rgb="FF0070C0"/>
      <name val="Calibri"/>
      <family val="2"/>
    </font>
    <font>
      <sz val="9"/>
      <color rgb="FF002060"/>
      <name val="Calibri"/>
      <family val="2"/>
    </font>
    <font>
      <sz val="7"/>
      <name val="Agency FB"/>
      <family val="2"/>
    </font>
    <font>
      <b/>
      <sz val="6"/>
      <color rgb="FF002060"/>
      <name val="Eras Demi ITC"/>
      <family val="2"/>
    </font>
    <font>
      <b/>
      <i/>
      <u/>
      <sz val="18"/>
      <name val="Calibri"/>
      <family val="2"/>
    </font>
    <font>
      <sz val="11"/>
      <color theme="1"/>
      <name val="Calibri"/>
      <family val="2"/>
    </font>
    <font>
      <b/>
      <sz val="24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0"/>
      <color theme="0"/>
      <name val="Calibri"/>
      <family val="2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dashed">
        <color rgb="FF7030A0"/>
      </top>
      <bottom style="dashed">
        <color rgb="FF7030A0"/>
      </bottom>
      <diagonal/>
    </border>
    <border>
      <left/>
      <right/>
      <top/>
      <bottom style="dashed">
        <color rgb="FF7030A0"/>
      </bottom>
      <diagonal/>
    </border>
    <border>
      <left/>
      <right style="thin">
        <color indexed="64"/>
      </right>
      <top style="dashed">
        <color rgb="FF7030A0"/>
      </top>
      <bottom style="dashed">
        <color rgb="FF7030A0"/>
      </bottom>
      <diagonal/>
    </border>
    <border>
      <left/>
      <right/>
      <top style="dashed">
        <color rgb="FF7030A0"/>
      </top>
      <bottom/>
      <diagonal/>
    </border>
    <border>
      <left/>
      <right style="thin">
        <color indexed="64"/>
      </right>
      <top style="dashed">
        <color rgb="FF7030A0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8">
    <xf numFmtId="0" fontId="0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</cellStyleXfs>
  <cellXfs count="67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 wrapText="1"/>
    </xf>
    <xf numFmtId="0" fontId="6" fillId="0" borderId="0" xfId="1" applyFont="1"/>
    <xf numFmtId="0" fontId="8" fillId="0" borderId="0" xfId="1" applyFont="1"/>
    <xf numFmtId="0" fontId="12" fillId="0" borderId="0" xfId="1" applyFont="1"/>
    <xf numFmtId="0" fontId="0" fillId="10" borderId="2" xfId="0" applyFill="1" applyBorder="1"/>
    <xf numFmtId="0" fontId="8" fillId="15" borderId="0" xfId="1" applyFont="1" applyFill="1"/>
    <xf numFmtId="0" fontId="8" fillId="12" borderId="0" xfId="1" applyFont="1" applyFill="1"/>
    <xf numFmtId="0" fontId="6" fillId="0" borderId="0" xfId="7" applyNumberFormat="1" applyFont="1" applyBorder="1"/>
    <xf numFmtId="0" fontId="25" fillId="0" borderId="0" xfId="1" applyFont="1"/>
    <xf numFmtId="0" fontId="6" fillId="0" borderId="0" xfId="1" applyFont="1" applyAlignment="1">
      <alignment horizontal="right"/>
    </xf>
    <xf numFmtId="0" fontId="6" fillId="12" borderId="0" xfId="1" applyFont="1" applyFill="1"/>
    <xf numFmtId="0" fontId="6" fillId="12" borderId="0" xfId="7" applyNumberFormat="1" applyFont="1" applyFill="1" applyBorder="1"/>
    <xf numFmtId="0" fontId="6" fillId="0" borderId="0" xfId="1" applyFont="1" applyAlignment="1">
      <alignment vertical="top"/>
    </xf>
    <xf numFmtId="20" fontId="6" fillId="0" borderId="0" xfId="1" quotePrefix="1" applyNumberFormat="1" applyFont="1" applyAlignment="1">
      <alignment horizontal="right"/>
    </xf>
    <xf numFmtId="168" fontId="6" fillId="0" borderId="0" xfId="7" applyFont="1" applyAlignment="1">
      <alignment horizontal="left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/>
    <xf numFmtId="1" fontId="0" fillId="4" borderId="1" xfId="0" applyNumberFormat="1" applyFill="1" applyBorder="1"/>
    <xf numFmtId="172" fontId="1" fillId="4" borderId="1" xfId="0" applyNumberFormat="1" applyFont="1" applyFill="1" applyBorder="1" applyAlignment="1">
      <alignment horizontal="center" vertical="center" wrapText="1"/>
    </xf>
    <xf numFmtId="172" fontId="0" fillId="4" borderId="1" xfId="0" applyNumberFormat="1" applyFill="1" applyBorder="1"/>
    <xf numFmtId="175" fontId="11" fillId="0" borderId="0" xfId="1" applyNumberFormat="1" applyFont="1"/>
    <xf numFmtId="0" fontId="5" fillId="0" borderId="0" xfId="1"/>
    <xf numFmtId="0" fontId="12" fillId="0" borderId="0" xfId="1" applyFont="1" applyAlignment="1">
      <alignment horizontal="center"/>
    </xf>
    <xf numFmtId="167" fontId="6" fillId="0" borderId="0" xfId="7" applyNumberFormat="1" applyFont="1" applyBorder="1" applyAlignment="1">
      <alignment horizontal="right"/>
    </xf>
    <xf numFmtId="167" fontId="6" fillId="0" borderId="0" xfId="7" applyNumberFormat="1" applyFont="1" applyBorder="1" applyAlignment="1">
      <alignment horizontal="center"/>
    </xf>
    <xf numFmtId="20" fontId="6" fillId="0" borderId="0" xfId="1" quotePrefix="1" applyNumberFormat="1" applyFont="1" applyAlignment="1">
      <alignment horizontal="center"/>
    </xf>
    <xf numFmtId="0" fontId="8" fillId="15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0" fontId="14" fillId="0" borderId="0" xfId="0" applyFont="1"/>
    <xf numFmtId="0" fontId="7" fillId="0" borderId="0" xfId="1" applyFont="1"/>
    <xf numFmtId="0" fontId="26" fillId="0" borderId="0" xfId="1" applyFont="1"/>
    <xf numFmtId="0" fontId="26" fillId="0" borderId="0" xfId="1" applyFont="1" applyProtection="1">
      <protection locked="0"/>
    </xf>
    <xf numFmtId="20" fontId="8" fillId="0" borderId="0" xfId="1" quotePrefix="1" applyNumberFormat="1" applyFont="1" applyAlignment="1">
      <alignment horizontal="left"/>
    </xf>
    <xf numFmtId="0" fontId="6" fillId="0" borderId="0" xfId="7" applyNumberFormat="1" applyFont="1" applyBorder="1" applyProtection="1"/>
    <xf numFmtId="0" fontId="11" fillId="0" borderId="0" xfId="1" applyFont="1"/>
    <xf numFmtId="0" fontId="11" fillId="0" borderId="0" xfId="7" applyNumberFormat="1" applyFont="1" applyBorder="1" applyProtection="1"/>
    <xf numFmtId="0" fontId="19" fillId="0" borderId="0" xfId="1" applyFont="1" applyAlignment="1">
      <alignment horizontal="right"/>
    </xf>
    <xf numFmtId="0" fontId="12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0" fontId="10" fillId="0" borderId="0" xfId="1" applyFont="1"/>
    <xf numFmtId="0" fontId="20" fillId="0" borderId="0" xfId="1" applyFont="1"/>
    <xf numFmtId="0" fontId="24" fillId="0" borderId="0" xfId="1" applyFont="1"/>
    <xf numFmtId="167" fontId="6" fillId="0" borderId="0" xfId="7" applyNumberFormat="1" applyFont="1" applyBorder="1" applyProtection="1"/>
    <xf numFmtId="0" fontId="26" fillId="0" borderId="0" xfId="1" applyFont="1" applyAlignment="1">
      <alignment horizontal="right"/>
    </xf>
    <xf numFmtId="0" fontId="6" fillId="0" borderId="0" xfId="7" applyNumberFormat="1" applyFont="1" applyBorder="1" applyAlignment="1" applyProtection="1">
      <alignment horizontal="center"/>
    </xf>
    <xf numFmtId="0" fontId="26" fillId="0" borderId="0" xfId="1" applyFont="1" applyAlignment="1">
      <alignment horizontal="center"/>
    </xf>
    <xf numFmtId="168" fontId="6" fillId="0" borderId="0" xfId="7" applyFont="1" applyBorder="1" applyProtection="1"/>
    <xf numFmtId="167" fontId="6" fillId="0" borderId="0" xfId="7" applyNumberFormat="1" applyFont="1" applyBorder="1" applyAlignment="1" applyProtection="1">
      <alignment horizontal="right"/>
    </xf>
    <xf numFmtId="167" fontId="6" fillId="0" borderId="0" xfId="7" applyNumberFormat="1" applyFont="1" applyBorder="1" applyAlignment="1" applyProtection="1">
      <alignment vertical="center"/>
    </xf>
    <xf numFmtId="0" fontId="6" fillId="0" borderId="0" xfId="1" applyFont="1" applyAlignment="1">
      <alignment vertical="center"/>
    </xf>
    <xf numFmtId="168" fontId="6" fillId="0" borderId="0" xfId="7" applyFont="1" applyBorder="1" applyAlignment="1" applyProtection="1">
      <alignment horizontal="right"/>
    </xf>
    <xf numFmtId="167" fontId="6" fillId="0" borderId="0" xfId="7" applyNumberFormat="1" applyFont="1" applyBorder="1" applyAlignment="1" applyProtection="1">
      <alignment horizontal="center"/>
    </xf>
    <xf numFmtId="164" fontId="6" fillId="0" borderId="0" xfId="7" applyNumberFormat="1" applyFont="1" applyBorder="1" applyProtection="1"/>
    <xf numFmtId="164" fontId="6" fillId="0" borderId="0" xfId="1" applyNumberFormat="1" applyFont="1"/>
    <xf numFmtId="0" fontId="6" fillId="0" borderId="0" xfId="1" applyFont="1" applyAlignment="1">
      <alignment horizontal="center"/>
    </xf>
    <xf numFmtId="0" fontId="6" fillId="0" borderId="0" xfId="7" applyNumberFormat="1" applyFont="1" applyBorder="1" applyAlignment="1" applyProtection="1">
      <alignment horizontal="right"/>
    </xf>
    <xf numFmtId="0" fontId="35" fillId="0" borderId="0" xfId="1" applyFont="1"/>
    <xf numFmtId="164" fontId="8" fillId="0" borderId="0" xfId="1" applyNumberFormat="1" applyFont="1"/>
    <xf numFmtId="171" fontId="8" fillId="0" borderId="0" xfId="1" applyNumberFormat="1" applyFont="1"/>
    <xf numFmtId="166" fontId="6" fillId="0" borderId="0" xfId="7" applyNumberFormat="1" applyFont="1" applyBorder="1" applyAlignment="1" applyProtection="1"/>
    <xf numFmtId="0" fontId="36" fillId="0" borderId="0" xfId="1" applyFont="1"/>
    <xf numFmtId="0" fontId="26" fillId="0" borderId="0" xfId="1" applyFont="1" applyAlignment="1">
      <alignment horizontal="right" vertical="center"/>
    </xf>
    <xf numFmtId="49" fontId="6" fillId="0" borderId="0" xfId="7" applyNumberFormat="1" applyFont="1" applyAlignment="1" applyProtection="1">
      <alignment vertical="top" wrapText="1"/>
    </xf>
    <xf numFmtId="0" fontId="9" fillId="0" borderId="0" xfId="1" applyFont="1"/>
    <xf numFmtId="168" fontId="6" fillId="0" borderId="0" xfId="7" applyFont="1" applyAlignment="1" applyProtection="1">
      <alignment horizontal="left"/>
    </xf>
    <xf numFmtId="0" fontId="31" fillId="0" borderId="0" xfId="0" applyFont="1"/>
    <xf numFmtId="167" fontId="6" fillId="0" borderId="0" xfId="7" applyNumberFormat="1" applyFont="1" applyAlignment="1" applyProtection="1">
      <alignment horizontal="center"/>
    </xf>
    <xf numFmtId="166" fontId="6" fillId="0" borderId="0" xfId="7" applyNumberFormat="1" applyFont="1" applyAlignment="1" applyProtection="1"/>
    <xf numFmtId="167" fontId="6" fillId="0" borderId="0" xfId="7" applyNumberFormat="1" applyFont="1" applyAlignment="1" applyProtection="1"/>
    <xf numFmtId="166" fontId="9" fillId="0" borderId="0" xfId="7" applyNumberFormat="1" applyFont="1" applyAlignment="1" applyProtection="1"/>
    <xf numFmtId="0" fontId="15" fillId="0" borderId="0" xfId="1" applyFont="1"/>
    <xf numFmtId="164" fontId="9" fillId="0" borderId="0" xfId="1" applyNumberFormat="1" applyFont="1"/>
    <xf numFmtId="0" fontId="15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8" fillId="0" borderId="0" xfId="1" applyFont="1" applyAlignment="1">
      <alignment vertical="top"/>
    </xf>
    <xf numFmtId="167" fontId="6" fillId="0" borderId="0" xfId="7" applyNumberFormat="1" applyFont="1" applyAlignment="1" applyProtection="1">
      <alignment horizontal="right"/>
    </xf>
    <xf numFmtId="167" fontId="8" fillId="0" borderId="0" xfId="7" applyNumberFormat="1" applyFont="1" applyAlignment="1" applyProtection="1">
      <alignment horizontal="center"/>
    </xf>
    <xf numFmtId="167" fontId="6" fillId="0" borderId="0" xfId="7" applyNumberFormat="1" applyFont="1" applyProtection="1"/>
    <xf numFmtId="167" fontId="6" fillId="0" borderId="0" xfId="7" applyNumberFormat="1" applyFont="1" applyAlignment="1" applyProtection="1">
      <alignment vertical="top" wrapText="1"/>
    </xf>
    <xf numFmtId="175" fontId="8" fillId="0" borderId="0" xfId="1" applyNumberFormat="1" applyFont="1" applyAlignment="1">
      <alignment horizontal="right"/>
    </xf>
    <xf numFmtId="0" fontId="29" fillId="0" borderId="0" xfId="1" applyFont="1"/>
    <xf numFmtId="0" fontId="8" fillId="0" borderId="0" xfId="1" applyFont="1" applyAlignment="1">
      <alignment horizontal="left"/>
    </xf>
    <xf numFmtId="164" fontId="9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right"/>
    </xf>
    <xf numFmtId="167" fontId="6" fillId="0" borderId="0" xfId="7" applyNumberFormat="1" applyFont="1" applyBorder="1" applyAlignment="1" applyProtection="1"/>
    <xf numFmtId="0" fontId="33" fillId="0" borderId="0" xfId="1" applyFont="1"/>
    <xf numFmtId="164" fontId="6" fillId="0" borderId="0" xfId="1" applyNumberFormat="1" applyFont="1" applyAlignment="1">
      <alignment horizontal="left"/>
    </xf>
    <xf numFmtId="14" fontId="0" fillId="0" borderId="0" xfId="0" applyNumberFormat="1"/>
    <xf numFmtId="41" fontId="0" fillId="0" borderId="0" xfId="0" applyNumberFormat="1"/>
    <xf numFmtId="0" fontId="0" fillId="0" borderId="0" xfId="0" applyAlignment="1">
      <alignment horizontal="center"/>
    </xf>
    <xf numFmtId="41" fontId="0" fillId="0" borderId="0" xfId="0" applyNumberFormat="1" applyAlignment="1">
      <alignment horizontal="center" vertical="center"/>
    </xf>
    <xf numFmtId="41" fontId="0" fillId="0" borderId="0" xfId="0" applyNumberFormat="1" applyAlignment="1">
      <alignment horizontal="left" vertical="center"/>
    </xf>
    <xf numFmtId="14" fontId="17" fillId="0" borderId="0" xfId="0" applyNumberFormat="1" applyFon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41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left" vertical="center"/>
    </xf>
    <xf numFmtId="41" fontId="0" fillId="0" borderId="1" xfId="0" applyNumberFormat="1" applyBorder="1"/>
    <xf numFmtId="14" fontId="0" fillId="0" borderId="1" xfId="0" applyNumberFormat="1" applyBorder="1"/>
    <xf numFmtId="0" fontId="1" fillId="18" borderId="1" xfId="0" applyFont="1" applyFill="1" applyBorder="1" applyAlignment="1">
      <alignment horizontal="center" vertical="center" wrapText="1"/>
    </xf>
    <xf numFmtId="41" fontId="1" fillId="18" borderId="1" xfId="0" applyNumberFormat="1" applyFont="1" applyFill="1" applyBorder="1" applyAlignment="1">
      <alignment horizontal="center" vertical="center" wrapText="1"/>
    </xf>
    <xf numFmtId="41" fontId="1" fillId="18" borderId="1" xfId="0" applyNumberFormat="1" applyFont="1" applyFill="1" applyBorder="1" applyAlignment="1">
      <alignment horizontal="left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167" fontId="26" fillId="0" borderId="0" xfId="7" applyNumberFormat="1" applyFont="1" applyBorder="1" applyAlignment="1" applyProtection="1">
      <alignment horizontal="center"/>
    </xf>
    <xf numFmtId="0" fontId="7" fillId="0" borderId="0" xfId="1" applyFont="1" applyAlignment="1">
      <alignment horizontal="right"/>
    </xf>
    <xf numFmtId="167" fontId="8" fillId="0" borderId="0" xfId="7" applyNumberFormat="1" applyFont="1" applyBorder="1" applyProtection="1"/>
    <xf numFmtId="166" fontId="8" fillId="0" borderId="0" xfId="7" applyNumberFormat="1" applyFont="1" applyBorder="1" applyProtection="1"/>
    <xf numFmtId="167" fontId="8" fillId="0" borderId="0" xfId="7" applyNumberFormat="1" applyFont="1" applyBorder="1" applyAlignment="1" applyProtection="1">
      <alignment horizontal="center"/>
    </xf>
    <xf numFmtId="0" fontId="23" fillId="0" borderId="0" xfId="1" applyFont="1"/>
    <xf numFmtId="166" fontId="8" fillId="0" borderId="0" xfId="7" applyNumberFormat="1" applyFont="1"/>
    <xf numFmtId="168" fontId="8" fillId="0" borderId="0" xfId="7" applyFont="1"/>
    <xf numFmtId="167" fontId="8" fillId="0" borderId="0" xfId="7" applyNumberFormat="1" applyFont="1" applyBorder="1" applyAlignment="1">
      <alignment horizontal="center"/>
    </xf>
    <xf numFmtId="168" fontId="8" fillId="0" borderId="0" xfId="7" applyFont="1" applyAlignment="1">
      <alignment horizontal="left"/>
    </xf>
    <xf numFmtId="166" fontId="8" fillId="0" borderId="0" xfId="7" applyNumberFormat="1" applyFont="1" applyBorder="1" applyAlignment="1"/>
    <xf numFmtId="167" fontId="34" fillId="0" borderId="0" xfId="7" applyNumberFormat="1" applyFont="1" applyAlignment="1" applyProtection="1"/>
    <xf numFmtId="164" fontId="26" fillId="0" borderId="0" xfId="1" applyNumberFormat="1" applyFont="1"/>
    <xf numFmtId="49" fontId="26" fillId="0" borderId="0" xfId="7" applyNumberFormat="1" applyFont="1" applyAlignment="1" applyProtection="1">
      <alignment vertical="top" wrapText="1"/>
    </xf>
    <xf numFmtId="0" fontId="26" fillId="0" borderId="0" xfId="1" applyFont="1" applyAlignment="1">
      <alignment horizontal="left"/>
    </xf>
    <xf numFmtId="166" fontId="26" fillId="0" borderId="0" xfId="7" applyNumberFormat="1" applyFont="1" applyBorder="1" applyAlignment="1" applyProtection="1"/>
    <xf numFmtId="0" fontId="26" fillId="0" borderId="0" xfId="1" applyFont="1" applyAlignment="1" applyProtection="1">
      <alignment horizontal="right"/>
      <protection locked="0"/>
    </xf>
    <xf numFmtId="166" fontId="26" fillId="0" borderId="0" xfId="7" applyNumberFormat="1" applyFont="1" applyAlignment="1" applyProtection="1">
      <protection locked="0"/>
    </xf>
    <xf numFmtId="0" fontId="7" fillId="0" borderId="0" xfId="1" applyFont="1" applyProtection="1">
      <protection locked="0"/>
    </xf>
    <xf numFmtId="0" fontId="33" fillId="0" borderId="0" xfId="1" applyFont="1" applyProtection="1">
      <protection locked="0"/>
    </xf>
    <xf numFmtId="0" fontId="29" fillId="0" borderId="0" xfId="1" applyFont="1" applyProtection="1">
      <protection locked="0"/>
    </xf>
    <xf numFmtId="167" fontId="34" fillId="0" borderId="0" xfId="7" applyNumberFormat="1" applyFont="1" applyAlignment="1" applyProtection="1">
      <protection locked="0"/>
    </xf>
    <xf numFmtId="166" fontId="26" fillId="0" borderId="0" xfId="7" applyNumberFormat="1" applyFont="1" applyAlignment="1" applyProtection="1">
      <alignment horizontal="right"/>
      <protection locked="0"/>
    </xf>
    <xf numFmtId="167" fontId="26" fillId="0" borderId="0" xfId="7" applyNumberFormat="1" applyFont="1" applyAlignment="1" applyProtection="1">
      <protection locked="0"/>
    </xf>
    <xf numFmtId="164" fontId="26" fillId="0" borderId="0" xfId="1" applyNumberFormat="1" applyFont="1" applyProtection="1">
      <protection locked="0"/>
    </xf>
    <xf numFmtId="0" fontId="7" fillId="0" borderId="0" xfId="1" applyFont="1" applyAlignment="1" applyProtection="1">
      <alignment horizontal="right"/>
      <protection locked="0"/>
    </xf>
    <xf numFmtId="166" fontId="15" fillId="0" borderId="0" xfId="7" applyNumberFormat="1" applyFont="1" applyAlignment="1" applyProtection="1">
      <alignment horizontal="right"/>
      <protection locked="0"/>
    </xf>
    <xf numFmtId="0" fontId="15" fillId="0" borderId="0" xfId="1" applyFont="1" applyAlignment="1" applyProtection="1">
      <alignment horizontal="right"/>
      <protection locked="0"/>
    </xf>
    <xf numFmtId="164" fontId="15" fillId="0" borderId="0" xfId="1" applyNumberFormat="1" applyFont="1" applyAlignment="1" applyProtection="1">
      <alignment horizontal="right"/>
      <protection locked="0"/>
    </xf>
    <xf numFmtId="164" fontId="26" fillId="0" borderId="0" xfId="1" applyNumberFormat="1" applyFont="1" applyAlignment="1" applyProtection="1">
      <alignment horizontal="left"/>
      <protection locked="0"/>
    </xf>
    <xf numFmtId="167" fontId="26" fillId="0" borderId="0" xfId="7" applyNumberFormat="1" applyFont="1" applyBorder="1" applyAlignment="1" applyProtection="1">
      <protection locked="0"/>
    </xf>
    <xf numFmtId="164" fontId="26" fillId="0" borderId="0" xfId="1" applyNumberFormat="1" applyFont="1" applyAlignment="1" applyProtection="1">
      <alignment horizontal="right"/>
      <protection locked="0"/>
    </xf>
    <xf numFmtId="167" fontId="26" fillId="0" borderId="0" xfId="7" applyNumberFormat="1" applyFont="1" applyBorder="1" applyAlignment="1" applyProtection="1">
      <alignment horizontal="center"/>
      <protection locked="0"/>
    </xf>
    <xf numFmtId="167" fontId="26" fillId="0" borderId="0" xfId="7" applyNumberFormat="1" applyFont="1" applyAlignment="1" applyProtection="1">
      <alignment horizontal="center"/>
      <protection locked="0"/>
    </xf>
    <xf numFmtId="166" fontId="7" fillId="0" borderId="0" xfId="1" applyNumberFormat="1" applyFont="1" applyProtection="1">
      <protection locked="0"/>
    </xf>
    <xf numFmtId="0" fontId="16" fillId="0" borderId="0" xfId="1" applyFont="1" applyProtection="1">
      <protection locked="0"/>
    </xf>
    <xf numFmtId="0" fontId="43" fillId="19" borderId="1" xfId="0" applyFont="1" applyFill="1" applyBorder="1"/>
    <xf numFmtId="0" fontId="44" fillId="19" borderId="1" xfId="0" applyFont="1" applyFill="1" applyBorder="1" applyAlignment="1">
      <alignment wrapText="1"/>
    </xf>
    <xf numFmtId="0" fontId="43" fillId="19" borderId="0" xfId="0" applyFont="1" applyFill="1" applyAlignment="1">
      <alignment wrapText="1"/>
    </xf>
    <xf numFmtId="0" fontId="43" fillId="19" borderId="8" xfId="0" applyFont="1" applyFill="1" applyBorder="1"/>
    <xf numFmtId="0" fontId="43" fillId="19" borderId="0" xfId="0" applyFont="1" applyFill="1" applyAlignment="1">
      <alignment horizontal="center"/>
    </xf>
    <xf numFmtId="0" fontId="43" fillId="19" borderId="2" xfId="0" applyFont="1" applyFill="1" applyBorder="1" applyAlignment="1">
      <alignment horizontal="center"/>
    </xf>
    <xf numFmtId="0" fontId="43" fillId="19" borderId="3" xfId="0" applyFont="1" applyFill="1" applyBorder="1" applyAlignment="1">
      <alignment horizontal="center"/>
    </xf>
    <xf numFmtId="0" fontId="43" fillId="19" borderId="4" xfId="0" applyFont="1" applyFill="1" applyBorder="1" applyAlignment="1">
      <alignment horizontal="center"/>
    </xf>
    <xf numFmtId="0" fontId="43" fillId="19" borderId="0" xfId="0" applyFont="1" applyFill="1"/>
    <xf numFmtId="0" fontId="44" fillId="19" borderId="1" xfId="0" applyFont="1" applyFill="1" applyBorder="1"/>
    <xf numFmtId="0" fontId="43" fillId="19" borderId="2" xfId="0" applyFont="1" applyFill="1" applyBorder="1"/>
    <xf numFmtId="0" fontId="44" fillId="19" borderId="4" xfId="0" applyFont="1" applyFill="1" applyBorder="1" applyAlignment="1">
      <alignment wrapText="1"/>
    </xf>
    <xf numFmtId="0" fontId="44" fillId="19" borderId="1" xfId="0" applyFont="1" applyFill="1" applyBorder="1" applyAlignment="1">
      <alignment horizontal="center" vertical="center" wrapText="1"/>
    </xf>
    <xf numFmtId="0" fontId="44" fillId="19" borderId="2" xfId="0" applyFont="1" applyFill="1" applyBorder="1" applyAlignment="1">
      <alignment horizontal="center" vertical="center" wrapText="1"/>
    </xf>
    <xf numFmtId="0" fontId="43" fillId="19" borderId="1" xfId="0" applyFont="1" applyFill="1" applyBorder="1" applyAlignment="1">
      <alignment vertical="center" wrapText="1"/>
    </xf>
    <xf numFmtId="0" fontId="43" fillId="19" borderId="0" xfId="0" applyFont="1" applyFill="1" applyAlignment="1">
      <alignment vertical="center" wrapText="1"/>
    </xf>
    <xf numFmtId="0" fontId="43" fillId="19" borderId="1" xfId="0" applyFont="1" applyFill="1" applyBorder="1" applyAlignment="1">
      <alignment horizontal="center"/>
    </xf>
    <xf numFmtId="0" fontId="43" fillId="19" borderId="0" xfId="0" applyFont="1" applyFill="1" applyAlignment="1">
      <alignment horizontal="center" vertical="center" wrapText="1"/>
    </xf>
    <xf numFmtId="0" fontId="43" fillId="19" borderId="1" xfId="0" applyFont="1" applyFill="1" applyBorder="1" applyAlignment="1">
      <alignment wrapText="1"/>
    </xf>
    <xf numFmtId="0" fontId="2" fillId="10" borderId="4" xfId="0" applyFont="1" applyFill="1" applyBorder="1" applyAlignment="1">
      <alignment horizontal="center" vertical="center"/>
    </xf>
    <xf numFmtId="0" fontId="30" fillId="0" borderId="0" xfId="1" applyFont="1" applyAlignment="1">
      <alignment horizontal="center"/>
    </xf>
    <xf numFmtId="166" fontId="6" fillId="0" borderId="0" xfId="7" applyNumberFormat="1" applyFont="1" applyAlignment="1" applyProtection="1">
      <alignment horizontal="right"/>
    </xf>
    <xf numFmtId="0" fontId="11" fillId="0" borderId="0" xfId="1" applyFont="1" applyAlignment="1">
      <alignment horizontal="right"/>
    </xf>
    <xf numFmtId="0" fontId="0" fillId="2" borderId="1" xfId="0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176" fontId="0" fillId="2" borderId="1" xfId="0" applyNumberFormat="1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1" fillId="5" borderId="4" xfId="0" applyFont="1" applyFill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/>
      <protection locked="0"/>
    </xf>
    <xf numFmtId="170" fontId="1" fillId="5" borderId="3" xfId="0" applyNumberFormat="1" applyFont="1" applyFill="1" applyBorder="1" applyAlignment="1" applyProtection="1">
      <alignment horizontal="center"/>
      <protection locked="0"/>
    </xf>
    <xf numFmtId="170" fontId="0" fillId="5" borderId="2" xfId="0" applyNumberFormat="1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4" fillId="6" borderId="2" xfId="0" applyFont="1" applyFill="1" applyBorder="1" applyAlignment="1" applyProtection="1">
      <alignment vertical="center"/>
      <protection locked="0"/>
    </xf>
    <xf numFmtId="0" fontId="4" fillId="6" borderId="3" xfId="0" applyFont="1" applyFill="1" applyBorder="1" applyAlignment="1" applyProtection="1">
      <alignment vertical="center"/>
      <protection locked="0"/>
    </xf>
    <xf numFmtId="0" fontId="4" fillId="6" borderId="4" xfId="0" applyFont="1" applyFill="1" applyBorder="1" applyAlignment="1" applyProtection="1">
      <alignment vertical="center"/>
      <protection locked="0"/>
    </xf>
    <xf numFmtId="0" fontId="0" fillId="6" borderId="1" xfId="0" applyFill="1" applyBorder="1" applyProtection="1">
      <protection locked="0"/>
    </xf>
    <xf numFmtId="0" fontId="0" fillId="14" borderId="1" xfId="0" applyFill="1" applyBorder="1" applyProtection="1">
      <protection locked="0"/>
    </xf>
    <xf numFmtId="0" fontId="3" fillId="13" borderId="3" xfId="0" applyFont="1" applyFill="1" applyBorder="1" applyAlignment="1" applyProtection="1">
      <alignment horizontal="left" vertical="center"/>
      <protection locked="0"/>
    </xf>
    <xf numFmtId="0" fontId="0" fillId="8" borderId="1" xfId="0" applyFill="1" applyBorder="1" applyProtection="1">
      <protection locked="0"/>
    </xf>
    <xf numFmtId="0" fontId="0" fillId="9" borderId="1" xfId="0" applyFill="1" applyBorder="1" applyProtection="1">
      <protection locked="0"/>
    </xf>
    <xf numFmtId="173" fontId="0" fillId="9" borderId="1" xfId="0" applyNumberFormat="1" applyFill="1" applyBorder="1" applyProtection="1">
      <protection locked="0"/>
    </xf>
    <xf numFmtId="170" fontId="0" fillId="9" borderId="2" xfId="0" applyNumberFormat="1" applyFill="1" applyBorder="1" applyProtection="1">
      <protection locked="0"/>
    </xf>
    <xf numFmtId="0" fontId="0" fillId="9" borderId="7" xfId="0" applyFill="1" applyBorder="1" applyProtection="1">
      <protection locked="0"/>
    </xf>
    <xf numFmtId="0" fontId="0" fillId="9" borderId="2" xfId="0" applyFill="1" applyBorder="1" applyProtection="1"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176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8" fillId="3" borderId="1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170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170" fontId="1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2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4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170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14" borderId="1" xfId="0" applyFont="1" applyFill="1" applyBorder="1" applyAlignment="1" applyProtection="1">
      <alignment horizontal="center" vertical="center" wrapText="1"/>
      <protection locked="0"/>
    </xf>
    <xf numFmtId="170" fontId="1" fillId="17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17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13" borderId="1" xfId="0" applyFont="1" applyFill="1" applyBorder="1" applyAlignment="1" applyProtection="1">
      <alignment horizontal="center" vertical="center" wrapText="1"/>
      <protection locked="0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177" fontId="1" fillId="8" borderId="1" xfId="0" applyNumberFormat="1" applyFont="1" applyFill="1" applyBorder="1" applyAlignment="1" applyProtection="1">
      <alignment horizontal="center" vertical="center" wrapText="1"/>
      <protection locked="0"/>
    </xf>
    <xf numFmtId="173" fontId="1" fillId="9" borderId="1" xfId="0" applyNumberFormat="1" applyFont="1" applyFill="1" applyBorder="1" applyAlignment="1" applyProtection="1">
      <alignment horizontal="center" vertical="center" wrapText="1"/>
      <protection locked="0"/>
    </xf>
    <xf numFmtId="170" fontId="1" fillId="9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9" borderId="7" xfId="0" applyFont="1" applyFill="1" applyBorder="1" applyAlignment="1" applyProtection="1">
      <alignment horizontal="center" vertical="center" wrapText="1"/>
      <protection locked="0"/>
    </xf>
    <xf numFmtId="0" fontId="1" fillId="9" borderId="2" xfId="0" applyFont="1" applyFill="1" applyBorder="1" applyAlignment="1" applyProtection="1">
      <alignment horizontal="center" vertical="center" wrapText="1"/>
      <protection locked="0"/>
    </xf>
    <xf numFmtId="14" fontId="0" fillId="2" borderId="1" xfId="0" applyNumberFormat="1" applyFill="1" applyBorder="1" applyProtection="1">
      <protection locked="0"/>
    </xf>
    <xf numFmtId="170" fontId="0" fillId="5" borderId="1" xfId="0" applyNumberFormat="1" applyFill="1" applyBorder="1" applyProtection="1">
      <protection locked="0"/>
    </xf>
    <xf numFmtId="3" fontId="0" fillId="5" borderId="1" xfId="0" applyNumberFormat="1" applyFill="1" applyBorder="1" applyProtection="1">
      <protection locked="0"/>
    </xf>
    <xf numFmtId="0" fontId="0" fillId="5" borderId="2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7" borderId="1" xfId="0" applyFill="1" applyBorder="1" applyProtection="1">
      <protection locked="0"/>
    </xf>
    <xf numFmtId="2" fontId="0" fillId="7" borderId="1" xfId="0" applyNumberFormat="1" applyFill="1" applyBorder="1" applyProtection="1">
      <protection locked="0"/>
    </xf>
    <xf numFmtId="170" fontId="0" fillId="6" borderId="1" xfId="0" applyNumberFormat="1" applyFill="1" applyBorder="1" applyProtection="1">
      <protection locked="0"/>
    </xf>
    <xf numFmtId="170" fontId="0" fillId="14" borderId="1" xfId="0" applyNumberFormat="1" applyFill="1" applyBorder="1" applyProtection="1">
      <protection locked="0"/>
    </xf>
    <xf numFmtId="170" fontId="0" fillId="17" borderId="1" xfId="0" applyNumberFormat="1" applyFill="1" applyBorder="1" applyProtection="1">
      <protection locked="0"/>
    </xf>
    <xf numFmtId="2" fontId="0" fillId="17" borderId="1" xfId="0" applyNumberFormat="1" applyFill="1" applyBorder="1" applyProtection="1">
      <protection locked="0"/>
    </xf>
    <xf numFmtId="0" fontId="0" fillId="13" borderId="1" xfId="0" applyFill="1" applyBorder="1" applyProtection="1">
      <protection locked="0"/>
    </xf>
    <xf numFmtId="177" fontId="0" fillId="8" borderId="1" xfId="0" applyNumberFormat="1" applyFill="1" applyBorder="1" applyProtection="1">
      <protection locked="0"/>
    </xf>
    <xf numFmtId="16" fontId="0" fillId="9" borderId="7" xfId="0" applyNumberFormat="1" applyFill="1" applyBorder="1" applyProtection="1">
      <protection locked="0"/>
    </xf>
    <xf numFmtId="0" fontId="14" fillId="9" borderId="1" xfId="0" applyFont="1" applyFill="1" applyBorder="1" applyProtection="1"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17" fontId="0" fillId="9" borderId="1" xfId="0" applyNumberFormat="1" applyFill="1" applyBorder="1" applyProtection="1">
      <protection locked="0"/>
    </xf>
    <xf numFmtId="10" fontId="0" fillId="6" borderId="1" xfId="0" applyNumberFormat="1" applyFill="1" applyBorder="1" applyProtection="1">
      <protection locked="0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/>
    <xf numFmtId="170" fontId="0" fillId="5" borderId="2" xfId="0" applyNumberFormat="1" applyFill="1" applyBorder="1"/>
    <xf numFmtId="170" fontId="1" fillId="5" borderId="2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1" fontId="0" fillId="6" borderId="1" xfId="0" applyNumberFormat="1" applyFill="1" applyBorder="1"/>
    <xf numFmtId="0" fontId="0" fillId="6" borderId="1" xfId="0" applyFill="1" applyBorder="1"/>
    <xf numFmtId="1" fontId="1" fillId="6" borderId="1" xfId="0" applyNumberFormat="1" applyFont="1" applyFill="1" applyBorder="1" applyAlignment="1">
      <alignment horizontal="center" vertical="center" wrapText="1"/>
    </xf>
    <xf numFmtId="167" fontId="0" fillId="6" borderId="1" xfId="0" applyNumberFormat="1" applyFill="1" applyBorder="1"/>
    <xf numFmtId="0" fontId="0" fillId="14" borderId="1" xfId="0" applyFill="1" applyBorder="1"/>
    <xf numFmtId="0" fontId="1" fillId="14" borderId="1" xfId="0" applyFont="1" applyFill="1" applyBorder="1" applyAlignment="1">
      <alignment horizontal="center" vertical="center" wrapText="1"/>
    </xf>
    <xf numFmtId="170" fontId="0" fillId="14" borderId="1" xfId="0" applyNumberFormat="1" applyFill="1" applyBorder="1"/>
    <xf numFmtId="171" fontId="0" fillId="6" borderId="1" xfId="0" applyNumberFormat="1" applyFill="1" applyBorder="1"/>
    <xf numFmtId="0" fontId="10" fillId="0" borderId="0" xfId="1" applyFont="1" applyAlignment="1">
      <alignment vertical="top"/>
    </xf>
    <xf numFmtId="0" fontId="6" fillId="0" borderId="9" xfId="1" applyFont="1" applyBorder="1"/>
    <xf numFmtId="20" fontId="6" fillId="0" borderId="9" xfId="1" quotePrefix="1" applyNumberFormat="1" applyFont="1" applyBorder="1" applyAlignment="1">
      <alignment horizontal="center"/>
    </xf>
    <xf numFmtId="20" fontId="6" fillId="0" borderId="9" xfId="1" quotePrefix="1" applyNumberFormat="1" applyFont="1" applyBorder="1" applyAlignment="1">
      <alignment horizontal="right"/>
    </xf>
    <xf numFmtId="20" fontId="8" fillId="0" borderId="9" xfId="1" quotePrefix="1" applyNumberFormat="1" applyFont="1" applyBorder="1" applyAlignment="1">
      <alignment horizontal="left"/>
    </xf>
    <xf numFmtId="0" fontId="8" fillId="15" borderId="10" xfId="1" applyFont="1" applyFill="1" applyBorder="1"/>
    <xf numFmtId="0" fontId="6" fillId="0" borderId="10" xfId="1" applyFont="1" applyBorder="1" applyAlignment="1">
      <alignment horizontal="right"/>
    </xf>
    <xf numFmtId="0" fontId="6" fillId="0" borderId="10" xfId="1" applyFont="1" applyBorder="1" applyAlignment="1">
      <alignment vertical="top"/>
    </xf>
    <xf numFmtId="0" fontId="6" fillId="0" borderId="10" xfId="1" applyFont="1" applyBorder="1"/>
    <xf numFmtId="0" fontId="25" fillId="0" borderId="10" xfId="1" applyFont="1" applyBorder="1"/>
    <xf numFmtId="0" fontId="8" fillId="0" borderId="10" xfId="1" applyFont="1" applyBorder="1"/>
    <xf numFmtId="0" fontId="12" fillId="0" borderId="10" xfId="1" applyFont="1" applyBorder="1"/>
    <xf numFmtId="0" fontId="12" fillId="0" borderId="10" xfId="1" applyFont="1" applyBorder="1" applyAlignment="1">
      <alignment vertical="top"/>
    </xf>
    <xf numFmtId="0" fontId="8" fillId="15" borderId="12" xfId="1" applyFont="1" applyFill="1" applyBorder="1"/>
    <xf numFmtId="0" fontId="6" fillId="0" borderId="12" xfId="1" applyFont="1" applyBorder="1" applyAlignment="1">
      <alignment horizontal="right"/>
    </xf>
    <xf numFmtId="0" fontId="6" fillId="0" borderId="12" xfId="1" applyFont="1" applyBorder="1" applyAlignment="1">
      <alignment vertical="top"/>
    </xf>
    <xf numFmtId="0" fontId="25" fillId="0" borderId="12" xfId="1" applyFont="1" applyBorder="1"/>
    <xf numFmtId="0" fontId="8" fillId="0" borderId="12" xfId="1" applyFont="1" applyBorder="1"/>
    <xf numFmtId="0" fontId="6" fillId="0" borderId="12" xfId="1" applyFont="1" applyBorder="1"/>
    <xf numFmtId="0" fontId="6" fillId="0" borderId="11" xfId="1" applyFont="1" applyBorder="1"/>
    <xf numFmtId="0" fontId="6" fillId="0" borderId="13" xfId="1" applyFont="1" applyBorder="1"/>
    <xf numFmtId="0" fontId="6" fillId="0" borderId="11" xfId="1" applyFont="1" applyBorder="1" applyAlignment="1">
      <alignment horizontal="left"/>
    </xf>
    <xf numFmtId="0" fontId="6" fillId="0" borderId="11" xfId="1" applyFont="1" applyBorder="1" applyAlignment="1">
      <alignment horizontal="center"/>
    </xf>
    <xf numFmtId="1" fontId="9" fillId="0" borderId="0" xfId="1" applyNumberFormat="1" applyFont="1"/>
    <xf numFmtId="1" fontId="1" fillId="5" borderId="3" xfId="0" applyNumberFormat="1" applyFont="1" applyFill="1" applyBorder="1" applyAlignment="1" applyProtection="1">
      <alignment horizontal="center"/>
      <protection locked="0"/>
    </xf>
    <xf numFmtId="1" fontId="1" fillId="5" borderId="2" xfId="0" applyNumberFormat="1" applyFont="1" applyFill="1" applyBorder="1" applyAlignment="1" applyProtection="1">
      <alignment horizontal="center" vertical="center" wrapText="1"/>
      <protection locked="0"/>
    </xf>
    <xf numFmtId="1" fontId="0" fillId="5" borderId="2" xfId="0" applyNumberFormat="1" applyFill="1" applyBorder="1" applyProtection="1">
      <protection locked="0"/>
    </xf>
    <xf numFmtId="0" fontId="9" fillId="0" borderId="0" xfId="1" applyFont="1" applyAlignment="1">
      <alignment vertical="center"/>
    </xf>
    <xf numFmtId="166" fontId="9" fillId="0" borderId="0" xfId="7" applyNumberFormat="1" applyFont="1" applyAlignment="1" applyProtection="1">
      <alignment horizontal="right"/>
    </xf>
    <xf numFmtId="0" fontId="9" fillId="0" borderId="0" xfId="1" applyFont="1" applyAlignment="1">
      <alignment horizontal="right"/>
    </xf>
    <xf numFmtId="164" fontId="9" fillId="0" borderId="0" xfId="1" applyNumberFormat="1" applyFont="1" applyAlignment="1">
      <alignment horizontal="right"/>
    </xf>
    <xf numFmtId="166" fontId="26" fillId="0" borderId="11" xfId="7" applyNumberFormat="1" applyFont="1" applyBorder="1" applyAlignment="1" applyProtection="1">
      <alignment vertical="center"/>
    </xf>
    <xf numFmtId="0" fontId="7" fillId="0" borderId="11" xfId="1" applyFont="1" applyBorder="1" applyAlignment="1">
      <alignment vertical="center"/>
    </xf>
    <xf numFmtId="166" fontId="26" fillId="0" borderId="13" xfId="7" applyNumberFormat="1" applyFont="1" applyBorder="1" applyAlignment="1" applyProtection="1">
      <alignment vertical="center"/>
    </xf>
    <xf numFmtId="0" fontId="7" fillId="0" borderId="13" xfId="1" applyFont="1" applyBorder="1" applyAlignment="1">
      <alignment vertical="center"/>
    </xf>
    <xf numFmtId="0" fontId="8" fillId="0" borderId="1" xfId="1" applyFont="1" applyBorder="1"/>
    <xf numFmtId="0" fontId="9" fillId="0" borderId="0" xfId="1" applyFont="1" applyAlignment="1">
      <alignment horizontal="center" vertical="center"/>
    </xf>
    <xf numFmtId="0" fontId="55" fillId="0" borderId="15" xfId="1" applyFont="1" applyBorder="1" applyAlignment="1">
      <alignment horizontal="right" vertical="center"/>
    </xf>
    <xf numFmtId="0" fontId="56" fillId="0" borderId="0" xfId="1" applyFont="1"/>
    <xf numFmtId="0" fontId="57" fillId="0" borderId="0" xfId="1" applyFont="1"/>
    <xf numFmtId="0" fontId="6" fillId="0" borderId="15" xfId="1" applyFont="1" applyBorder="1"/>
    <xf numFmtId="0" fontId="56" fillId="0" borderId="15" xfId="1" applyFont="1" applyBorder="1" applyAlignment="1">
      <alignment horizontal="right"/>
    </xf>
    <xf numFmtId="0" fontId="8" fillId="0" borderId="15" xfId="1" applyFont="1" applyBorder="1" applyAlignment="1">
      <alignment horizontal="left"/>
    </xf>
    <xf numFmtId="0" fontId="10" fillId="0" borderId="17" xfId="1" applyFont="1" applyBorder="1"/>
    <xf numFmtId="0" fontId="56" fillId="0" borderId="15" xfId="1" applyFont="1" applyBorder="1"/>
    <xf numFmtId="0" fontId="10" fillId="0" borderId="15" xfId="1" applyFont="1" applyBorder="1"/>
    <xf numFmtId="0" fontId="6" fillId="0" borderId="15" xfId="2" applyFont="1" applyBorder="1"/>
    <xf numFmtId="0" fontId="8" fillId="0" borderId="18" xfId="1" applyFont="1" applyBorder="1"/>
    <xf numFmtId="0" fontId="8" fillId="0" borderId="19" xfId="1" applyFont="1" applyBorder="1"/>
    <xf numFmtId="0" fontId="8" fillId="0" borderId="0" xfId="2" applyFont="1" applyBorder="1"/>
    <xf numFmtId="0" fontId="8" fillId="0" borderId="4" xfId="1" applyFont="1" applyBorder="1"/>
    <xf numFmtId="0" fontId="61" fillId="0" borderId="0" xfId="1" applyFont="1" applyAlignment="1">
      <alignment vertical="center" wrapText="1"/>
    </xf>
    <xf numFmtId="0" fontId="10" fillId="0" borderId="4" xfId="1" applyFont="1" applyBorder="1"/>
    <xf numFmtId="0" fontId="10" fillId="0" borderId="1" xfId="1" applyFont="1" applyBorder="1"/>
    <xf numFmtId="0" fontId="63" fillId="0" borderId="0" xfId="1" applyFont="1"/>
    <xf numFmtId="0" fontId="64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1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8" fillId="0" borderId="0" xfId="1" applyFont="1"/>
    <xf numFmtId="0" fontId="69" fillId="0" borderId="0" xfId="1" applyFont="1" applyAlignment="1">
      <alignment wrapText="1"/>
    </xf>
    <xf numFmtId="0" fontId="56" fillId="0" borderId="0" xfId="1" applyFont="1" applyAlignment="1">
      <alignment horizontal="right" vertical="justify" wrapText="1"/>
    </xf>
    <xf numFmtId="166" fontId="10" fillId="0" borderId="0" xfId="2" applyNumberFormat="1" applyFont="1" applyBorder="1" applyAlignment="1">
      <alignment vertical="center"/>
    </xf>
    <xf numFmtId="0" fontId="6" fillId="0" borderId="0" xfId="1" applyFont="1" applyProtection="1">
      <protection locked="0"/>
    </xf>
    <xf numFmtId="0" fontId="70" fillId="0" borderId="0" xfId="1" applyFont="1"/>
    <xf numFmtId="0" fontId="8" fillId="19" borderId="0" xfId="1" applyFont="1" applyFill="1"/>
    <xf numFmtId="0" fontId="8" fillId="12" borderId="8" xfId="1" applyFont="1" applyFill="1" applyBorder="1"/>
    <xf numFmtId="0" fontId="6" fillId="0" borderId="0" xfId="2" applyFont="1"/>
    <xf numFmtId="0" fontId="6" fillId="0" borderId="0" xfId="1" quotePrefix="1" applyFont="1" applyAlignment="1">
      <alignment horizontal="center"/>
    </xf>
    <xf numFmtId="164" fontId="16" fillId="0" borderId="11" xfId="7" applyNumberFormat="1" applyFont="1" applyBorder="1" applyAlignment="1" applyProtection="1">
      <alignment vertical="center" readingOrder="2"/>
    </xf>
    <xf numFmtId="167" fontId="16" fillId="0" borderId="13" xfId="7" applyNumberFormat="1" applyFont="1" applyBorder="1" applyAlignment="1" applyProtection="1">
      <alignment horizontal="right" vertical="center" readingOrder="2"/>
    </xf>
    <xf numFmtId="166" fontId="16" fillId="0" borderId="13" xfId="7" applyNumberFormat="1" applyFont="1" applyBorder="1" applyAlignment="1" applyProtection="1">
      <alignment horizontal="right" vertical="center" readingOrder="2"/>
    </xf>
    <xf numFmtId="167" fontId="16" fillId="0" borderId="0" xfId="7" applyNumberFormat="1" applyFont="1" applyBorder="1" applyProtection="1"/>
    <xf numFmtId="1" fontId="16" fillId="0" borderId="11" xfId="7" applyNumberFormat="1" applyFont="1" applyBorder="1" applyAlignment="1" applyProtection="1">
      <alignment horizontal="center" vertical="center"/>
    </xf>
    <xf numFmtId="164" fontId="26" fillId="0" borderId="13" xfId="7" applyNumberFormat="1" applyFont="1" applyBorder="1" applyProtection="1"/>
    <xf numFmtId="164" fontId="26" fillId="0" borderId="13" xfId="7" applyNumberFormat="1" applyFont="1" applyBorder="1" applyAlignment="1" applyProtection="1">
      <alignment horizontal="right"/>
    </xf>
    <xf numFmtId="0" fontId="11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52" fillId="0" borderId="20" xfId="1" applyFont="1" applyBorder="1" applyAlignment="1">
      <alignment horizontal="center"/>
    </xf>
    <xf numFmtId="167" fontId="6" fillId="0" borderId="21" xfId="7" applyNumberFormat="1" applyFont="1" applyBorder="1" applyAlignment="1" applyProtection="1">
      <alignment horizontal="right"/>
    </xf>
    <xf numFmtId="167" fontId="6" fillId="0" borderId="21" xfId="7" applyNumberFormat="1" applyFont="1" applyBorder="1" applyAlignment="1" applyProtection="1">
      <alignment horizontal="right" vertical="center"/>
    </xf>
    <xf numFmtId="0" fontId="8" fillId="0" borderId="21" xfId="1" applyFont="1" applyBorder="1"/>
    <xf numFmtId="0" fontId="6" fillId="0" borderId="21" xfId="1" applyFont="1" applyBorder="1" applyAlignment="1">
      <alignment horizontal="right"/>
    </xf>
    <xf numFmtId="167" fontId="6" fillId="0" borderId="21" xfId="7" applyNumberFormat="1" applyFont="1" applyBorder="1" applyAlignment="1" applyProtection="1">
      <alignment horizontal="center"/>
    </xf>
    <xf numFmtId="167" fontId="6" fillId="0" borderId="22" xfId="7" applyNumberFormat="1" applyFont="1" applyBorder="1" applyAlignment="1" applyProtection="1">
      <alignment horizontal="center"/>
    </xf>
    <xf numFmtId="167" fontId="26" fillId="0" borderId="11" xfId="7" applyNumberFormat="1" applyFont="1" applyBorder="1" applyAlignment="1" applyProtection="1">
      <alignment vertical="center"/>
    </xf>
    <xf numFmtId="0" fontId="12" fillId="0" borderId="0" xfId="7" applyNumberFormat="1" applyFont="1" applyBorder="1" applyAlignment="1" applyProtection="1">
      <alignment horizontal="center" vertical="center"/>
    </xf>
    <xf numFmtId="0" fontId="12" fillId="0" borderId="0" xfId="7" applyNumberFormat="1" applyFont="1" applyBorder="1" applyAlignment="1" applyProtection="1">
      <alignment horizontal="center"/>
    </xf>
    <xf numFmtId="0" fontId="10" fillId="0" borderId="0" xfId="1" applyFont="1" applyAlignment="1">
      <alignment horizontal="right"/>
    </xf>
    <xf numFmtId="164" fontId="6" fillId="0" borderId="0" xfId="1" applyNumberFormat="1" applyFont="1" applyAlignment="1">
      <alignment wrapText="1"/>
    </xf>
    <xf numFmtId="0" fontId="72" fillId="0" borderId="0" xfId="1" applyFont="1" applyAlignment="1">
      <alignment horizontal="center"/>
    </xf>
    <xf numFmtId="43" fontId="8" fillId="0" borderId="11" xfId="1" applyNumberFormat="1" applyFont="1" applyBorder="1" applyAlignment="1">
      <alignment horizontal="right"/>
    </xf>
    <xf numFmtId="43" fontId="8" fillId="0" borderId="13" xfId="1" applyNumberFormat="1" applyFont="1" applyBorder="1" applyAlignment="1">
      <alignment horizontal="right"/>
    </xf>
    <xf numFmtId="0" fontId="73" fillId="8" borderId="1" xfId="0" applyFont="1" applyFill="1" applyBorder="1" applyProtection="1">
      <protection locked="0"/>
    </xf>
    <xf numFmtId="0" fontId="8" fillId="15" borderId="0" xfId="1" applyFont="1" applyFill="1" applyAlignment="1">
      <alignment horizontal="right"/>
    </xf>
    <xf numFmtId="0" fontId="0" fillId="7" borderId="4" xfId="0" applyFill="1" applyBorder="1" applyProtection="1">
      <protection locked="0"/>
    </xf>
    <xf numFmtId="0" fontId="44" fillId="7" borderId="6" xfId="0" applyFont="1" applyFill="1" applyBorder="1" applyAlignment="1" applyProtection="1">
      <alignment horizontal="center" vertical="center" wrapText="1"/>
      <protection locked="0"/>
    </xf>
    <xf numFmtId="168" fontId="8" fillId="0" borderId="13" xfId="7" applyFont="1" applyBorder="1" applyAlignment="1" applyProtection="1">
      <alignment vertical="center"/>
    </xf>
    <xf numFmtId="168" fontId="8" fillId="0" borderId="13" xfId="7" applyFont="1" applyBorder="1" applyAlignment="1" applyProtection="1"/>
    <xf numFmtId="168" fontId="12" fillId="0" borderId="0" xfId="7" applyFont="1" applyBorder="1" applyAlignment="1" applyProtection="1"/>
    <xf numFmtId="168" fontId="12" fillId="0" borderId="12" xfId="7" applyFont="1" applyBorder="1" applyAlignment="1" applyProtection="1">
      <alignment vertical="center"/>
    </xf>
    <xf numFmtId="182" fontId="11" fillId="0" borderId="13" xfId="7" applyNumberFormat="1" applyFont="1" applyBorder="1" applyAlignment="1" applyProtection="1">
      <alignment vertical="center"/>
    </xf>
    <xf numFmtId="182" fontId="11" fillId="0" borderId="13" xfId="7" applyNumberFormat="1" applyFont="1" applyBorder="1" applyAlignment="1" applyProtection="1"/>
    <xf numFmtId="183" fontId="8" fillId="0" borderId="13" xfId="7" applyNumberFormat="1" applyFont="1" applyBorder="1" applyAlignment="1" applyProtection="1">
      <alignment horizontal="left" vertical="center"/>
    </xf>
    <xf numFmtId="183" fontId="8" fillId="0" borderId="13" xfId="7" applyNumberFormat="1" applyFont="1" applyBorder="1" applyAlignment="1" applyProtection="1"/>
    <xf numFmtId="1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1" applyFont="1" applyAlignment="1">
      <alignment horizontal="center"/>
    </xf>
    <xf numFmtId="0" fontId="8" fillId="0" borderId="11" xfId="1" applyFont="1" applyBorder="1" applyAlignment="1">
      <alignment horizontal="center"/>
    </xf>
    <xf numFmtId="0" fontId="74" fillId="8" borderId="0" xfId="1" applyFont="1" applyFill="1" applyAlignment="1" applyProtection="1">
      <alignment horizontal="center"/>
      <protection locked="0"/>
    </xf>
    <xf numFmtId="0" fontId="10" fillId="0" borderId="0" xfId="1" applyFont="1" applyAlignment="1">
      <alignment horizontal="right" vertical="top"/>
    </xf>
    <xf numFmtId="0" fontId="8" fillId="0" borderId="9" xfId="1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4" fillId="0" borderId="0" xfId="1" applyFont="1" applyAlignment="1">
      <alignment horizontal="right"/>
    </xf>
    <xf numFmtId="167" fontId="7" fillId="0" borderId="0" xfId="1" applyNumberFormat="1" applyFont="1" applyAlignment="1">
      <alignment horizontal="center" vertical="center"/>
    </xf>
    <xf numFmtId="0" fontId="8" fillId="0" borderId="25" xfId="1" applyFont="1" applyBorder="1"/>
    <xf numFmtId="164" fontId="6" fillId="0" borderId="25" xfId="1" applyNumberFormat="1" applyFont="1" applyBorder="1"/>
    <xf numFmtId="0" fontId="6" fillId="0" borderId="25" xfId="1" applyFont="1" applyBorder="1"/>
    <xf numFmtId="0" fontId="59" fillId="0" borderId="0" xfId="1" applyFont="1" applyAlignment="1">
      <alignment horizontal="center" vertical="center"/>
    </xf>
    <xf numFmtId="0" fontId="8" fillId="0" borderId="14" xfId="1" applyFont="1" applyBorder="1"/>
    <xf numFmtId="0" fontId="8" fillId="0" borderId="1" xfId="1" applyFont="1" applyBorder="1" applyAlignment="1">
      <alignment horizontal="right"/>
    </xf>
    <xf numFmtId="0" fontId="28" fillId="0" borderId="27" xfId="1" applyFont="1" applyBorder="1" applyAlignment="1">
      <alignment vertical="center"/>
    </xf>
    <xf numFmtId="166" fontId="28" fillId="0" borderId="4" xfId="7" applyNumberFormat="1" applyFont="1" applyBorder="1" applyAlignment="1" applyProtection="1">
      <alignment horizontal="center" vertical="center"/>
    </xf>
    <xf numFmtId="0" fontId="28" fillId="0" borderId="1" xfId="1" applyFont="1" applyBorder="1" applyAlignment="1">
      <alignment vertical="center"/>
    </xf>
    <xf numFmtId="167" fontId="28" fillId="0" borderId="2" xfId="7" applyNumberFormat="1" applyFont="1" applyBorder="1" applyAlignment="1" applyProtection="1">
      <alignment vertical="center"/>
    </xf>
    <xf numFmtId="0" fontId="28" fillId="0" borderId="4" xfId="1" applyFont="1" applyBorder="1" applyAlignment="1">
      <alignment horizontal="center" vertical="center"/>
    </xf>
    <xf numFmtId="164" fontId="28" fillId="0" borderId="29" xfId="1" applyNumberFormat="1" applyFont="1" applyBorder="1" applyAlignment="1">
      <alignment horizontal="center" vertical="center"/>
    </xf>
    <xf numFmtId="0" fontId="28" fillId="0" borderId="30" xfId="1" applyFont="1" applyBorder="1" applyAlignment="1">
      <alignment vertical="center"/>
    </xf>
    <xf numFmtId="167" fontId="28" fillId="0" borderId="31" xfId="7" applyNumberFormat="1" applyFont="1" applyBorder="1" applyAlignment="1" applyProtection="1">
      <alignment vertical="center"/>
    </xf>
    <xf numFmtId="0" fontId="58" fillId="0" borderId="0" xfId="1" applyFont="1" applyAlignment="1">
      <alignment horizontal="right"/>
    </xf>
    <xf numFmtId="0" fontId="75" fillId="0" borderId="0" xfId="1" applyFont="1"/>
    <xf numFmtId="0" fontId="76" fillId="0" borderId="0" xfId="1" applyFont="1" applyAlignment="1">
      <alignment horizontal="right"/>
    </xf>
    <xf numFmtId="49" fontId="75" fillId="0" borderId="0" xfId="7" applyNumberFormat="1" applyFont="1" applyAlignment="1" applyProtection="1">
      <alignment vertical="top" wrapText="1"/>
    </xf>
    <xf numFmtId="0" fontId="77" fillId="0" borderId="0" xfId="1" applyFont="1"/>
    <xf numFmtId="0" fontId="76" fillId="0" borderId="0" xfId="1" applyFont="1"/>
    <xf numFmtId="0" fontId="75" fillId="0" borderId="0" xfId="1" applyFont="1" applyAlignment="1">
      <alignment horizontal="right"/>
    </xf>
    <xf numFmtId="0" fontId="62" fillId="0" borderId="0" xfId="0" applyFont="1" applyAlignment="1">
      <alignment horizontal="right" vertical="center"/>
    </xf>
    <xf numFmtId="0" fontId="18" fillId="10" borderId="3" xfId="0" applyFont="1" applyFill="1" applyBorder="1" applyAlignment="1">
      <alignment horizontal="center"/>
    </xf>
    <xf numFmtId="0" fontId="78" fillId="2" borderId="1" xfId="0" applyFont="1" applyFill="1" applyBorder="1" applyProtection="1">
      <protection locked="0"/>
    </xf>
    <xf numFmtId="0" fontId="78" fillId="2" borderId="1" xfId="0" applyFont="1" applyFill="1" applyBorder="1" applyAlignment="1" applyProtection="1">
      <alignment horizontal="center"/>
      <protection locked="0"/>
    </xf>
    <xf numFmtId="0" fontId="78" fillId="2" borderId="1" xfId="0" applyFont="1" applyFill="1" applyBorder="1" applyAlignment="1" applyProtection="1">
      <alignment horizontal="center" vertical="center"/>
      <protection locked="0"/>
    </xf>
    <xf numFmtId="14" fontId="78" fillId="2" borderId="1" xfId="0" applyNumberFormat="1" applyFont="1" applyFill="1" applyBorder="1" applyProtection="1">
      <protection locked="0"/>
    </xf>
    <xf numFmtId="176" fontId="78" fillId="2" borderId="1" xfId="0" applyNumberFormat="1" applyFont="1" applyFill="1" applyBorder="1" applyProtection="1">
      <protection locked="0"/>
    </xf>
    <xf numFmtId="0" fontId="78" fillId="3" borderId="1" xfId="0" applyFont="1" applyFill="1" applyBorder="1" applyProtection="1">
      <protection locked="0"/>
    </xf>
    <xf numFmtId="0" fontId="78" fillId="5" borderId="1" xfId="0" applyFont="1" applyFill="1" applyBorder="1" applyProtection="1">
      <protection locked="0"/>
    </xf>
    <xf numFmtId="170" fontId="78" fillId="5" borderId="1" xfId="0" applyNumberFormat="1" applyFont="1" applyFill="1" applyBorder="1" applyProtection="1">
      <protection locked="0"/>
    </xf>
    <xf numFmtId="164" fontId="78" fillId="5" borderId="1" xfId="0" applyNumberFormat="1" applyFont="1" applyFill="1" applyBorder="1"/>
    <xf numFmtId="3" fontId="78" fillId="5" borderId="1" xfId="0" applyNumberFormat="1" applyFont="1" applyFill="1" applyBorder="1" applyProtection="1">
      <protection locked="0"/>
    </xf>
    <xf numFmtId="0" fontId="78" fillId="5" borderId="2" xfId="0" applyFont="1" applyFill="1" applyBorder="1" applyProtection="1">
      <protection locked="0"/>
    </xf>
    <xf numFmtId="1" fontId="78" fillId="5" borderId="2" xfId="0" applyNumberFormat="1" applyFont="1" applyFill="1" applyBorder="1" applyProtection="1">
      <protection locked="0"/>
    </xf>
    <xf numFmtId="170" fontId="78" fillId="5" borderId="2" xfId="0" applyNumberFormat="1" applyFont="1" applyFill="1" applyBorder="1" applyProtection="1">
      <protection locked="0"/>
    </xf>
    <xf numFmtId="170" fontId="78" fillId="5" borderId="2" xfId="0" applyNumberFormat="1" applyFont="1" applyFill="1" applyBorder="1"/>
    <xf numFmtId="0" fontId="78" fillId="7" borderId="6" xfId="0" applyFont="1" applyFill="1" applyBorder="1" applyProtection="1">
      <protection locked="0"/>
    </xf>
    <xf numFmtId="0" fontId="78" fillId="7" borderId="4" xfId="0" applyFont="1" applyFill="1" applyBorder="1" applyProtection="1">
      <protection locked="0"/>
    </xf>
    <xf numFmtId="0" fontId="78" fillId="7" borderId="1" xfId="0" applyFont="1" applyFill="1" applyBorder="1" applyProtection="1">
      <protection locked="0"/>
    </xf>
    <xf numFmtId="2" fontId="78" fillId="7" borderId="1" xfId="0" applyNumberFormat="1" applyFont="1" applyFill="1" applyBorder="1" applyProtection="1">
      <protection locked="0"/>
    </xf>
    <xf numFmtId="0" fontId="78" fillId="5" borderId="4" xfId="0" applyFont="1" applyFill="1" applyBorder="1" applyProtection="1">
      <protection locked="0"/>
    </xf>
    <xf numFmtId="0" fontId="78" fillId="6" borderId="1" xfId="0" applyFont="1" applyFill="1" applyBorder="1" applyProtection="1">
      <protection locked="0"/>
    </xf>
    <xf numFmtId="170" fontId="78" fillId="6" borderId="1" xfId="0" applyNumberFormat="1" applyFont="1" applyFill="1" applyBorder="1" applyProtection="1">
      <protection locked="0"/>
    </xf>
    <xf numFmtId="1" fontId="78" fillId="6" borderId="1" xfId="0" applyNumberFormat="1" applyFont="1" applyFill="1" applyBorder="1"/>
    <xf numFmtId="0" fontId="78" fillId="14" borderId="1" xfId="0" applyFont="1" applyFill="1" applyBorder="1" applyProtection="1">
      <protection locked="0"/>
    </xf>
    <xf numFmtId="170" fontId="78" fillId="14" borderId="1" xfId="0" applyNumberFormat="1" applyFont="1" applyFill="1" applyBorder="1"/>
    <xf numFmtId="0" fontId="78" fillId="6" borderId="1" xfId="0" applyFont="1" applyFill="1" applyBorder="1"/>
    <xf numFmtId="171" fontId="78" fillId="6" borderId="1" xfId="0" applyNumberFormat="1" applyFont="1" applyFill="1" applyBorder="1"/>
    <xf numFmtId="170" fontId="78" fillId="17" borderId="1" xfId="0" applyNumberFormat="1" applyFont="1" applyFill="1" applyBorder="1" applyProtection="1">
      <protection locked="0"/>
    </xf>
    <xf numFmtId="2" fontId="78" fillId="17" borderId="1" xfId="0" applyNumberFormat="1" applyFont="1" applyFill="1" applyBorder="1" applyProtection="1">
      <protection locked="0"/>
    </xf>
    <xf numFmtId="0" fontId="78" fillId="13" borderId="1" xfId="0" applyFont="1" applyFill="1" applyBorder="1" applyProtection="1">
      <protection locked="0"/>
    </xf>
    <xf numFmtId="0" fontId="78" fillId="8" borderId="1" xfId="0" applyFont="1" applyFill="1" applyBorder="1" applyProtection="1">
      <protection locked="0"/>
    </xf>
    <xf numFmtId="177" fontId="78" fillId="8" borderId="1" xfId="0" applyNumberFormat="1" applyFont="1" applyFill="1" applyBorder="1" applyProtection="1">
      <protection locked="0"/>
    </xf>
    <xf numFmtId="0" fontId="78" fillId="9" borderId="1" xfId="0" applyFont="1" applyFill="1" applyBorder="1" applyProtection="1">
      <protection locked="0"/>
    </xf>
    <xf numFmtId="173" fontId="78" fillId="9" borderId="1" xfId="0" applyNumberFormat="1" applyFont="1" applyFill="1" applyBorder="1" applyProtection="1">
      <protection locked="0"/>
    </xf>
    <xf numFmtId="170" fontId="78" fillId="9" borderId="2" xfId="0" applyNumberFormat="1" applyFont="1" applyFill="1" applyBorder="1" applyProtection="1">
      <protection locked="0"/>
    </xf>
    <xf numFmtId="0" fontId="78" fillId="9" borderId="7" xfId="0" applyFont="1" applyFill="1" applyBorder="1" applyProtection="1">
      <protection locked="0"/>
    </xf>
    <xf numFmtId="0" fontId="78" fillId="9" borderId="2" xfId="0" applyFont="1" applyFill="1" applyBorder="1" applyProtection="1">
      <protection locked="0"/>
    </xf>
    <xf numFmtId="0" fontId="78" fillId="10" borderId="1" xfId="0" applyFont="1" applyFill="1" applyBorder="1"/>
    <xf numFmtId="0" fontId="78" fillId="4" borderId="1" xfId="0" applyFont="1" applyFill="1" applyBorder="1"/>
    <xf numFmtId="172" fontId="78" fillId="4" borderId="1" xfId="0" applyNumberFormat="1" applyFont="1" applyFill="1" applyBorder="1"/>
    <xf numFmtId="2" fontId="78" fillId="4" borderId="1" xfId="0" applyNumberFormat="1" applyFont="1" applyFill="1" applyBorder="1"/>
    <xf numFmtId="0" fontId="78" fillId="0" borderId="1" xfId="0" applyFont="1" applyBorder="1"/>
    <xf numFmtId="0" fontId="9" fillId="0" borderId="11" xfId="1" applyFont="1" applyBorder="1" applyAlignment="1">
      <alignment horizontal="right"/>
    </xf>
    <xf numFmtId="0" fontId="12" fillId="0" borderId="12" xfId="1" applyFont="1" applyBorder="1" applyAlignment="1">
      <alignment horizontal="center" vertical="top"/>
    </xf>
    <xf numFmtId="0" fontId="12" fillId="0" borderId="12" xfId="1" applyFont="1" applyBorder="1" applyAlignment="1">
      <alignment horizontal="right" vertical="top"/>
    </xf>
    <xf numFmtId="0" fontId="12" fillId="0" borderId="12" xfId="1" applyFont="1" applyBorder="1" applyAlignment="1">
      <alignment horizontal="center"/>
    </xf>
    <xf numFmtId="174" fontId="9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left"/>
    </xf>
    <xf numFmtId="0" fontId="22" fillId="11" borderId="0" xfId="1" applyFont="1" applyFill="1" applyAlignment="1" applyProtection="1">
      <alignment horizontal="center"/>
      <protection locked="0"/>
    </xf>
    <xf numFmtId="0" fontId="28" fillId="0" borderId="11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30" fillId="0" borderId="0" xfId="1" applyFont="1" applyAlignment="1">
      <alignment horizontal="center"/>
    </xf>
    <xf numFmtId="0" fontId="27" fillId="0" borderId="11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right"/>
    </xf>
    <xf numFmtId="0" fontId="11" fillId="0" borderId="0" xfId="1" applyFont="1" applyAlignment="1">
      <alignment horizontal="right" vertical="center"/>
    </xf>
    <xf numFmtId="167" fontId="6" fillId="0" borderId="11" xfId="7" applyNumberFormat="1" applyFont="1" applyBorder="1" applyAlignment="1" applyProtection="1">
      <alignment horizontal="right" vertical="center"/>
    </xf>
    <xf numFmtId="0" fontId="6" fillId="0" borderId="21" xfId="1" applyFont="1" applyBorder="1" applyAlignment="1">
      <alignment horizontal="right"/>
    </xf>
    <xf numFmtId="167" fontId="6" fillId="0" borderId="21" xfId="7" applyNumberFormat="1" applyFont="1" applyBorder="1" applyProtection="1"/>
    <xf numFmtId="0" fontId="11" fillId="0" borderId="0" xfId="1" applyFont="1" applyAlignment="1">
      <alignment horizontal="right"/>
    </xf>
    <xf numFmtId="167" fontId="6" fillId="0" borderId="13" xfId="7" applyNumberFormat="1" applyFont="1" applyBorder="1" applyAlignment="1" applyProtection="1">
      <alignment horizontal="right"/>
    </xf>
    <xf numFmtId="0" fontId="10" fillId="0" borderId="23" xfId="1" applyFont="1" applyBorder="1" applyAlignment="1">
      <alignment horizontal="right"/>
    </xf>
    <xf numFmtId="0" fontId="10" fillId="0" borderId="20" xfId="1" applyFont="1" applyBorder="1" applyAlignment="1">
      <alignment horizontal="right"/>
    </xf>
    <xf numFmtId="0" fontId="52" fillId="0" borderId="20" xfId="1" applyFont="1" applyBorder="1" applyAlignment="1">
      <alignment horizontal="center"/>
    </xf>
    <xf numFmtId="166" fontId="6" fillId="0" borderId="13" xfId="7" applyNumberFormat="1" applyFont="1" applyBorder="1" applyAlignment="1" applyProtection="1">
      <alignment horizontal="right"/>
    </xf>
    <xf numFmtId="167" fontId="52" fillId="0" borderId="0" xfId="7" applyNumberFormat="1" applyFont="1" applyBorder="1" applyAlignment="1" applyProtection="1">
      <alignment horizontal="center" vertical="center"/>
    </xf>
    <xf numFmtId="168" fontId="8" fillId="0" borderId="13" xfId="7" applyFont="1" applyBorder="1" applyAlignment="1" applyProtection="1">
      <alignment horizontal="right"/>
    </xf>
    <xf numFmtId="167" fontId="6" fillId="0" borderId="21" xfId="7" applyNumberFormat="1" applyFont="1" applyBorder="1" applyAlignment="1" applyProtection="1">
      <alignment horizontal="righ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164" fontId="7" fillId="0" borderId="11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6" fillId="0" borderId="21" xfId="1" applyFont="1" applyBorder="1" applyAlignment="1">
      <alignment horizontal="right" vertical="center"/>
    </xf>
    <xf numFmtId="167" fontId="6" fillId="0" borderId="21" xfId="7" applyNumberFormat="1" applyFont="1" applyBorder="1" applyAlignment="1" applyProtection="1">
      <alignment horizontal="right" vertical="center"/>
    </xf>
    <xf numFmtId="0" fontId="8" fillId="0" borderId="21" xfId="1" applyFont="1" applyBorder="1" applyAlignment="1">
      <alignment horizontal="right"/>
    </xf>
    <xf numFmtId="169" fontId="8" fillId="0" borderId="0" xfId="1" applyNumberFormat="1" applyFont="1" applyAlignment="1">
      <alignment horizontal="left"/>
    </xf>
    <xf numFmtId="20" fontId="8" fillId="0" borderId="0" xfId="1" quotePrefix="1" applyNumberFormat="1" applyFont="1" applyAlignment="1">
      <alignment horizontal="center"/>
    </xf>
    <xf numFmtId="0" fontId="52" fillId="0" borderId="21" xfId="1" applyFont="1" applyBorder="1" applyAlignment="1">
      <alignment horizontal="right"/>
    </xf>
    <xf numFmtId="167" fontId="26" fillId="0" borderId="22" xfId="7" applyNumberFormat="1" applyFont="1" applyBorder="1" applyAlignment="1" applyProtection="1">
      <alignment horizontal="right"/>
    </xf>
    <xf numFmtId="0" fontId="50" fillId="0" borderId="0" xfId="1" applyFont="1" applyAlignment="1">
      <alignment horizontal="center"/>
    </xf>
    <xf numFmtId="168" fontId="11" fillId="0" borderId="11" xfId="7" applyFont="1" applyBorder="1" applyAlignment="1" applyProtection="1">
      <alignment horizontal="left" vertical="center"/>
    </xf>
    <xf numFmtId="168" fontId="11" fillId="0" borderId="13" xfId="7" applyFont="1" applyBorder="1" applyAlignment="1" applyProtection="1">
      <alignment horizontal="left" vertical="center"/>
    </xf>
    <xf numFmtId="166" fontId="8" fillId="0" borderId="0" xfId="1" applyNumberFormat="1" applyFont="1" applyAlignment="1">
      <alignment horizontal="center"/>
    </xf>
    <xf numFmtId="0" fontId="35" fillId="0" borderId="0" xfId="1" applyFont="1" applyAlignment="1">
      <alignment horizontal="left"/>
    </xf>
    <xf numFmtId="175" fontId="6" fillId="0" borderId="0" xfId="1" applyNumberFormat="1" applyFont="1" applyAlignment="1">
      <alignment horizontal="left"/>
    </xf>
    <xf numFmtId="20" fontId="8" fillId="0" borderId="0" xfId="1" quotePrefix="1" applyNumberFormat="1" applyFont="1" applyAlignment="1">
      <alignment horizontal="left"/>
    </xf>
    <xf numFmtId="165" fontId="13" fillId="0" borderId="0" xfId="1" applyNumberFormat="1" applyFont="1" applyAlignment="1">
      <alignment horizontal="center"/>
    </xf>
    <xf numFmtId="0" fontId="9" fillId="0" borderId="0" xfId="1" applyFont="1" applyAlignment="1">
      <alignment horizontal="right"/>
    </xf>
    <xf numFmtId="1" fontId="13" fillId="0" borderId="0" xfId="1" applyNumberFormat="1" applyFont="1" applyAlignment="1">
      <alignment horizontal="center"/>
    </xf>
    <xf numFmtId="20" fontId="28" fillId="0" borderId="0" xfId="1" applyNumberFormat="1" applyFont="1" applyAlignment="1">
      <alignment horizontal="right"/>
    </xf>
    <xf numFmtId="20" fontId="9" fillId="0" borderId="0" xfId="1" applyNumberFormat="1" applyFont="1" applyAlignment="1">
      <alignment horizontal="right"/>
    </xf>
    <xf numFmtId="2" fontId="13" fillId="0" borderId="0" xfId="1" applyNumberFormat="1" applyFont="1" applyAlignment="1">
      <alignment horizontal="center"/>
    </xf>
    <xf numFmtId="164" fontId="6" fillId="0" borderId="0" xfId="1" quotePrefix="1" applyNumberFormat="1" applyFont="1" applyAlignment="1">
      <alignment horizontal="center"/>
    </xf>
    <xf numFmtId="175" fontId="6" fillId="0" borderId="0" xfId="1" applyNumberFormat="1" applyFont="1" applyAlignment="1">
      <alignment horizontal="center"/>
    </xf>
    <xf numFmtId="0" fontId="29" fillId="0" borderId="0" xfId="1" applyFont="1" applyAlignment="1">
      <alignment horizontal="center" vertical="top"/>
    </xf>
    <xf numFmtId="0" fontId="33" fillId="0" borderId="0" xfId="1" applyFont="1" applyAlignment="1">
      <alignment horizontal="center"/>
    </xf>
    <xf numFmtId="0" fontId="15" fillId="0" borderId="0" xfId="1" applyFont="1" applyAlignment="1">
      <alignment horizontal="right"/>
    </xf>
    <xf numFmtId="0" fontId="30" fillId="16" borderId="0" xfId="1" applyFont="1" applyFill="1" applyAlignment="1" applyProtection="1">
      <alignment horizontal="center"/>
      <protection locked="0"/>
    </xf>
    <xf numFmtId="0" fontId="23" fillId="0" borderId="0" xfId="1" applyFont="1" applyAlignment="1">
      <alignment horizontal="center" vertical="center"/>
    </xf>
    <xf numFmtId="0" fontId="32" fillId="0" borderId="0" xfId="1" applyFont="1" applyAlignment="1">
      <alignment horizontal="center" vertical="center"/>
    </xf>
    <xf numFmtId="170" fontId="13" fillId="0" borderId="9" xfId="1" applyNumberFormat="1" applyFont="1" applyBorder="1" applyAlignment="1">
      <alignment horizontal="center"/>
    </xf>
    <xf numFmtId="1" fontId="13" fillId="0" borderId="24" xfId="1" applyNumberFormat="1" applyFont="1" applyBorder="1" applyAlignment="1">
      <alignment horizontal="center"/>
    </xf>
    <xf numFmtId="2" fontId="13" fillId="0" borderId="24" xfId="1" applyNumberFormat="1" applyFont="1" applyBorder="1" applyAlignment="1">
      <alignment horizontal="center"/>
    </xf>
    <xf numFmtId="0" fontId="13" fillId="0" borderId="0" xfId="1" applyFont="1" applyAlignment="1">
      <alignment horizontal="right"/>
    </xf>
    <xf numFmtId="0" fontId="27" fillId="0" borderId="0" xfId="1" applyFont="1" applyAlignment="1">
      <alignment horizontal="right"/>
    </xf>
    <xf numFmtId="0" fontId="37" fillId="0" borderId="0" xfId="1" applyFont="1" applyAlignment="1">
      <alignment horizontal="center" vertical="top"/>
    </xf>
    <xf numFmtId="166" fontId="11" fillId="0" borderId="0" xfId="7" applyNumberFormat="1" applyFont="1" applyBorder="1" applyAlignment="1" applyProtection="1">
      <alignment horizontal="left" vertical="top" wrapText="1"/>
    </xf>
    <xf numFmtId="166" fontId="8" fillId="0" borderId="0" xfId="7" applyNumberFormat="1" applyFont="1" applyAlignment="1">
      <alignment vertical="center"/>
    </xf>
    <xf numFmtId="167" fontId="8" fillId="0" borderId="0" xfId="7" applyNumberFormat="1" applyFont="1" applyAlignment="1">
      <alignment horizontal="center"/>
    </xf>
    <xf numFmtId="166" fontId="8" fillId="0" borderId="0" xfId="7" applyNumberFormat="1" applyFont="1" applyAlignment="1">
      <alignment horizontal="center"/>
    </xf>
    <xf numFmtId="0" fontId="42" fillId="0" borderId="0" xfId="1" applyFont="1" applyAlignment="1">
      <alignment horizontal="center" vertical="center"/>
    </xf>
    <xf numFmtId="0" fontId="23" fillId="0" borderId="0" xfId="1" applyFont="1" applyAlignment="1">
      <alignment horizontal="left"/>
    </xf>
    <xf numFmtId="0" fontId="41" fillId="0" borderId="0" xfId="1" applyFont="1" applyAlignment="1">
      <alignment horizontal="center" vertical="top"/>
    </xf>
    <xf numFmtId="0" fontId="12" fillId="0" borderId="10" xfId="1" applyFont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13" fillId="0" borderId="9" xfId="1" applyFont="1" applyBorder="1" applyAlignment="1">
      <alignment horizontal="right"/>
    </xf>
    <xf numFmtId="0" fontId="12" fillId="0" borderId="0" xfId="1" applyFont="1" applyAlignment="1">
      <alignment horizontal="center" vertical="top"/>
    </xf>
    <xf numFmtId="0" fontId="12" fillId="0" borderId="0" xfId="1" applyFont="1" applyAlignment="1">
      <alignment horizontal="right" vertical="top"/>
    </xf>
    <xf numFmtId="164" fontId="6" fillId="0" borderId="9" xfId="1" quotePrefix="1" applyNumberFormat="1" applyFont="1" applyBorder="1" applyAlignment="1">
      <alignment horizontal="center"/>
    </xf>
    <xf numFmtId="175" fontId="6" fillId="0" borderId="9" xfId="1" applyNumberFormat="1" applyFont="1" applyBorder="1" applyAlignment="1">
      <alignment horizontal="center"/>
    </xf>
    <xf numFmtId="171" fontId="8" fillId="0" borderId="0" xfId="1" applyNumberFormat="1" applyFont="1" applyAlignment="1">
      <alignment horizontal="center"/>
    </xf>
    <xf numFmtId="0" fontId="41" fillId="0" borderId="0" xfId="1" applyFont="1" applyAlignment="1">
      <alignment horizontal="center"/>
    </xf>
    <xf numFmtId="0" fontId="41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23" fillId="0" borderId="0" xfId="1" applyFont="1" applyAlignment="1">
      <alignment horizontal="center"/>
    </xf>
    <xf numFmtId="0" fontId="12" fillId="0" borderId="10" xfId="1" applyFont="1" applyBorder="1" applyAlignment="1">
      <alignment horizontal="center" vertical="top"/>
    </xf>
    <xf numFmtId="0" fontId="12" fillId="0" borderId="10" xfId="1" applyFont="1" applyBorder="1" applyAlignment="1">
      <alignment horizontal="right" vertical="top"/>
    </xf>
    <xf numFmtId="167" fontId="75" fillId="0" borderId="0" xfId="7" applyNumberFormat="1" applyFont="1" applyAlignment="1" applyProtection="1">
      <alignment horizontal="left"/>
    </xf>
    <xf numFmtId="167" fontId="6" fillId="0" borderId="0" xfId="7" applyNumberFormat="1" applyFont="1" applyAlignment="1" applyProtection="1">
      <alignment horizontal="center"/>
    </xf>
    <xf numFmtId="177" fontId="6" fillId="0" borderId="0" xfId="1" applyNumberFormat="1" applyFont="1" applyAlignment="1">
      <alignment horizontal="left"/>
    </xf>
    <xf numFmtId="0" fontId="39" fillId="0" borderId="0" xfId="1" applyFont="1" applyAlignment="1">
      <alignment horizontal="center" vertical="center"/>
    </xf>
    <xf numFmtId="166" fontId="6" fillId="0" borderId="0" xfId="7" applyNumberFormat="1" applyFont="1" applyAlignment="1" applyProtection="1">
      <alignment horizontal="left"/>
    </xf>
    <xf numFmtId="167" fontId="6" fillId="0" borderId="0" xfId="7" applyNumberFormat="1" applyFont="1" applyAlignment="1" applyProtection="1">
      <alignment horizontal="left"/>
    </xf>
    <xf numFmtId="166" fontId="6" fillId="0" borderId="0" xfId="7" applyNumberFormat="1" applyFont="1" applyAlignment="1" applyProtection="1">
      <alignment horizontal="center"/>
    </xf>
    <xf numFmtId="181" fontId="6" fillId="0" borderId="0" xfId="7" applyNumberFormat="1" applyFont="1" applyAlignment="1" applyProtection="1">
      <alignment horizontal="center"/>
    </xf>
    <xf numFmtId="167" fontId="8" fillId="0" borderId="11" xfId="7" applyNumberFormat="1" applyFont="1" applyBorder="1" applyAlignment="1" applyProtection="1">
      <alignment horizontal="left"/>
    </xf>
    <xf numFmtId="167" fontId="6" fillId="0" borderId="13" xfId="7" applyNumberFormat="1" applyFont="1" applyBorder="1" applyAlignment="1" applyProtection="1">
      <alignment horizontal="left"/>
    </xf>
    <xf numFmtId="167" fontId="8" fillId="0" borderId="11" xfId="7" applyNumberFormat="1" applyFont="1" applyBorder="1" applyAlignment="1" applyProtection="1">
      <alignment horizontal="center" vertical="center"/>
    </xf>
    <xf numFmtId="167" fontId="11" fillId="0" borderId="13" xfId="7" applyNumberFormat="1" applyFont="1" applyBorder="1" applyAlignment="1" applyProtection="1">
      <alignment horizontal="center"/>
    </xf>
    <xf numFmtId="167" fontId="6" fillId="0" borderId="13" xfId="7" applyNumberFormat="1" applyFont="1" applyBorder="1" applyAlignment="1" applyProtection="1">
      <alignment horizontal="center"/>
    </xf>
    <xf numFmtId="0" fontId="42" fillId="0" borderId="0" xfId="1" applyFont="1" applyAlignment="1">
      <alignment horizontal="right"/>
    </xf>
    <xf numFmtId="164" fontId="6" fillId="0" borderId="13" xfId="1" applyNumberFormat="1" applyFont="1" applyBorder="1" applyAlignment="1">
      <alignment horizontal="left"/>
    </xf>
    <xf numFmtId="167" fontId="8" fillId="0" borderId="13" xfId="7" applyNumberFormat="1" applyFont="1" applyBorder="1" applyAlignment="1" applyProtection="1">
      <alignment horizontal="center"/>
    </xf>
    <xf numFmtId="0" fontId="8" fillId="12" borderId="0" xfId="1" applyFont="1" applyFill="1" applyAlignment="1">
      <alignment horizontal="center"/>
    </xf>
    <xf numFmtId="0" fontId="7" fillId="12" borderId="0" xfId="1" applyFont="1" applyFill="1" applyAlignment="1" applyProtection="1">
      <alignment horizontal="center"/>
      <protection locked="0"/>
    </xf>
    <xf numFmtId="0" fontId="23" fillId="0" borderId="11" xfId="1" applyFont="1" applyBorder="1" applyAlignment="1">
      <alignment horizontal="center"/>
    </xf>
    <xf numFmtId="0" fontId="37" fillId="0" borderId="0" xfId="1" applyFont="1" applyAlignment="1">
      <alignment horizontal="center"/>
    </xf>
    <xf numFmtId="20" fontId="11" fillId="0" borderId="0" xfId="1" quotePrefix="1" applyNumberFormat="1" applyFont="1" applyAlignment="1">
      <alignment horizontal="left"/>
    </xf>
    <xf numFmtId="164" fontId="8" fillId="0" borderId="0" xfId="1" quotePrefix="1" applyNumberFormat="1" applyFont="1" applyAlignment="1">
      <alignment horizontal="center"/>
    </xf>
    <xf numFmtId="167" fontId="16" fillId="0" borderId="0" xfId="7" applyNumberFormat="1" applyFont="1" applyAlignment="1" applyProtection="1">
      <alignment horizontal="right" vertical="top" wrapText="1"/>
    </xf>
    <xf numFmtId="175" fontId="11" fillId="0" borderId="0" xfId="1" applyNumberFormat="1" applyFont="1" applyAlignment="1">
      <alignment horizontal="center"/>
    </xf>
    <xf numFmtId="167" fontId="6" fillId="0" borderId="11" xfId="7" applyNumberFormat="1" applyFont="1" applyBorder="1" applyAlignment="1" applyProtection="1">
      <alignment horizontal="left"/>
    </xf>
    <xf numFmtId="175" fontId="9" fillId="0" borderId="0" xfId="1" applyNumberFormat="1" applyFont="1" applyAlignment="1">
      <alignment horizontal="center"/>
    </xf>
    <xf numFmtId="167" fontId="8" fillId="0" borderId="0" xfId="7" applyNumberFormat="1" applyFont="1" applyBorder="1" applyAlignment="1" applyProtection="1">
      <alignment horizontal="left"/>
    </xf>
    <xf numFmtId="0" fontId="51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166" fontId="6" fillId="0" borderId="13" xfId="7" applyNumberFormat="1" applyFont="1" applyBorder="1" applyAlignment="1" applyProtection="1">
      <alignment horizontal="left" wrapText="1"/>
    </xf>
    <xf numFmtId="0" fontId="51" fillId="0" borderId="0" xfId="1" applyFont="1" applyAlignment="1">
      <alignment horizontal="center"/>
    </xf>
    <xf numFmtId="0" fontId="23" fillId="0" borderId="11" xfId="1" applyFont="1" applyBorder="1" applyAlignment="1">
      <alignment horizontal="left" vertical="center"/>
    </xf>
    <xf numFmtId="0" fontId="13" fillId="0" borderId="8" xfId="1" applyFont="1" applyBorder="1" applyAlignment="1">
      <alignment horizontal="center" vertical="center"/>
    </xf>
    <xf numFmtId="0" fontId="13" fillId="0" borderId="28" xfId="1" applyFont="1" applyBorder="1" applyAlignment="1">
      <alignment horizontal="center" vertical="center"/>
    </xf>
    <xf numFmtId="0" fontId="29" fillId="0" borderId="0" xfId="1" applyFont="1" applyAlignment="1">
      <alignment horizontal="center"/>
    </xf>
    <xf numFmtId="0" fontId="28" fillId="0" borderId="1" xfId="1" applyFont="1" applyBorder="1" applyAlignment="1">
      <alignment horizontal="center" vertical="center"/>
    </xf>
    <xf numFmtId="0" fontId="28" fillId="0" borderId="30" xfId="1" applyFont="1" applyBorder="1" applyAlignment="1">
      <alignment horizontal="center" vertical="center"/>
    </xf>
    <xf numFmtId="20" fontId="28" fillId="0" borderId="1" xfId="1" applyNumberFormat="1" applyFont="1" applyBorder="1" applyAlignment="1">
      <alignment horizontal="center" vertical="center"/>
    </xf>
    <xf numFmtId="20" fontId="28" fillId="0" borderId="30" xfId="1" applyNumberFormat="1" applyFont="1" applyBorder="1" applyAlignment="1">
      <alignment horizontal="center" vertical="center"/>
    </xf>
    <xf numFmtId="20" fontId="15" fillId="0" borderId="0" xfId="1" applyNumberFormat="1" applyFont="1" applyAlignment="1">
      <alignment horizontal="center"/>
    </xf>
    <xf numFmtId="0" fontId="28" fillId="0" borderId="0" xfId="1" applyFont="1" applyAlignment="1">
      <alignment horizontal="center"/>
    </xf>
    <xf numFmtId="170" fontId="28" fillId="0" borderId="0" xfId="1" applyNumberFormat="1" applyFont="1" applyAlignment="1">
      <alignment horizontal="center"/>
    </xf>
    <xf numFmtId="20" fontId="9" fillId="0" borderId="0" xfId="1" applyNumberFormat="1" applyFont="1" applyAlignment="1">
      <alignment horizontal="center"/>
    </xf>
    <xf numFmtId="167" fontId="7" fillId="0" borderId="13" xfId="1" applyNumberFormat="1" applyFont="1" applyBorder="1" applyAlignment="1">
      <alignment horizontal="center" vertical="center"/>
    </xf>
    <xf numFmtId="167" fontId="8" fillId="0" borderId="0" xfId="1" applyNumberFormat="1" applyFont="1" applyAlignment="1">
      <alignment horizontal="left"/>
    </xf>
    <xf numFmtId="0" fontId="6" fillId="0" borderId="0" xfId="1" applyFont="1" applyAlignment="1">
      <alignment horizontal="right"/>
    </xf>
    <xf numFmtId="177" fontId="26" fillId="0" borderId="13" xfId="1" applyNumberFormat="1" applyFont="1" applyBorder="1" applyAlignment="1">
      <alignment horizontal="left"/>
    </xf>
    <xf numFmtId="167" fontId="26" fillId="0" borderId="13" xfId="7" applyNumberFormat="1" applyFont="1" applyBorder="1" applyAlignment="1" applyProtection="1">
      <alignment vertical="center"/>
    </xf>
    <xf numFmtId="177" fontId="26" fillId="0" borderId="11" xfId="1" applyNumberFormat="1" applyFont="1" applyBorder="1" applyAlignment="1">
      <alignment horizontal="left"/>
    </xf>
    <xf numFmtId="167" fontId="34" fillId="0" borderId="0" xfId="7" applyNumberFormat="1" applyFont="1" applyAlignment="1" applyProtection="1">
      <alignment horizontal="center"/>
    </xf>
    <xf numFmtId="167" fontId="26" fillId="0" borderId="13" xfId="7" applyNumberFormat="1" applyFont="1" applyBorder="1" applyAlignment="1" applyProtection="1">
      <alignment horizontal="right" vertical="center"/>
    </xf>
    <xf numFmtId="0" fontId="23" fillId="0" borderId="0" xfId="1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167" fontId="11" fillId="0" borderId="13" xfId="1" applyNumberFormat="1" applyFont="1" applyBorder="1" applyAlignment="1">
      <alignment horizontal="center"/>
    </xf>
    <xf numFmtId="0" fontId="60" fillId="0" borderId="0" xfId="1" applyFont="1" applyAlignment="1">
      <alignment horizontal="left" vertical="center"/>
    </xf>
    <xf numFmtId="0" fontId="62" fillId="0" borderId="0" xfId="0" applyFont="1" applyAlignment="1">
      <alignment horizontal="right"/>
    </xf>
    <xf numFmtId="179" fontId="8" fillId="0" borderId="11" xfId="1" applyNumberFormat="1" applyFont="1" applyBorder="1" applyAlignment="1">
      <alignment horizontal="center"/>
    </xf>
    <xf numFmtId="167" fontId="8" fillId="0" borderId="11" xfId="1" applyNumberFormat="1" applyFont="1" applyBorder="1" applyAlignment="1">
      <alignment horizontal="center"/>
    </xf>
    <xf numFmtId="0" fontId="67" fillId="0" borderId="0" xfId="0" applyFont="1" applyAlignment="1">
      <alignment horizontal="right" vertical="center"/>
    </xf>
    <xf numFmtId="167" fontId="10" fillId="0" borderId="11" xfId="1" applyNumberFormat="1" applyFont="1" applyBorder="1" applyAlignment="1">
      <alignment horizontal="left"/>
    </xf>
    <xf numFmtId="0" fontId="50" fillId="0" borderId="0" xfId="1" applyFont="1" applyAlignment="1">
      <alignment horizontal="right"/>
    </xf>
    <xf numFmtId="169" fontId="10" fillId="0" borderId="0" xfId="1" applyNumberFormat="1" applyFont="1" applyAlignment="1">
      <alignment horizontal="center"/>
    </xf>
    <xf numFmtId="167" fontId="8" fillId="0" borderId="13" xfId="1" applyNumberFormat="1" applyFont="1" applyBorder="1" applyAlignment="1">
      <alignment horizontal="center"/>
    </xf>
    <xf numFmtId="0" fontId="56" fillId="0" borderId="0" xfId="1" applyFont="1" applyAlignment="1">
      <alignment horizontal="right" vertical="justify" wrapText="1"/>
    </xf>
    <xf numFmtId="166" fontId="10" fillId="0" borderId="0" xfId="2" applyNumberFormat="1" applyFont="1" applyBorder="1" applyAlignment="1">
      <alignment horizontal="center" vertical="center"/>
    </xf>
    <xf numFmtId="180" fontId="8" fillId="0" borderId="13" xfId="1" applyNumberFormat="1" applyFont="1" applyBorder="1" applyAlignment="1">
      <alignment horizontal="center"/>
    </xf>
    <xf numFmtId="179" fontId="8" fillId="0" borderId="13" xfId="1" applyNumberFormat="1" applyFont="1" applyBorder="1" applyAlignment="1">
      <alignment horizontal="center"/>
    </xf>
    <xf numFmtId="164" fontId="8" fillId="0" borderId="11" xfId="1" applyNumberFormat="1" applyFont="1" applyBorder="1" applyAlignment="1">
      <alignment horizontal="center"/>
    </xf>
    <xf numFmtId="0" fontId="62" fillId="0" borderId="0" xfId="0" applyFont="1" applyAlignment="1">
      <alignment horizontal="center" vertical="center"/>
    </xf>
    <xf numFmtId="164" fontId="0" fillId="0" borderId="11" xfId="0" applyNumberFormat="1" applyBorder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/>
    </xf>
    <xf numFmtId="166" fontId="8" fillId="0" borderId="11" xfId="1" applyNumberFormat="1" applyFont="1" applyBorder="1" applyAlignment="1">
      <alignment horizontal="left"/>
    </xf>
    <xf numFmtId="166" fontId="11" fillId="0" borderId="13" xfId="1" applyNumberFormat="1" applyFont="1" applyBorder="1" applyAlignment="1">
      <alignment horizontal="center"/>
    </xf>
    <xf numFmtId="164" fontId="8" fillId="0" borderId="13" xfId="1" applyNumberFormat="1" applyFont="1" applyBorder="1" applyAlignment="1">
      <alignment horizontal="left"/>
    </xf>
    <xf numFmtId="171" fontId="8" fillId="0" borderId="13" xfId="1" applyNumberFormat="1" applyFont="1" applyBorder="1" applyAlignment="1">
      <alignment horizontal="left" vertical="center" readingOrder="1"/>
    </xf>
    <xf numFmtId="164" fontId="8" fillId="0" borderId="13" xfId="1" applyNumberFormat="1" applyFont="1" applyBorder="1" applyAlignment="1">
      <alignment horizontal="center"/>
    </xf>
    <xf numFmtId="164" fontId="11" fillId="0" borderId="11" xfId="1" applyNumberFormat="1" applyFont="1" applyBorder="1" applyAlignment="1">
      <alignment horizontal="left"/>
    </xf>
    <xf numFmtId="0" fontId="56" fillId="0" borderId="15" xfId="1" applyFont="1" applyBorder="1" applyAlignment="1">
      <alignment horizontal="left" wrapText="1"/>
    </xf>
    <xf numFmtId="0" fontId="11" fillId="0" borderId="15" xfId="1" applyFont="1" applyBorder="1" applyAlignment="1">
      <alignment horizontal="left"/>
    </xf>
    <xf numFmtId="169" fontId="58" fillId="0" borderId="15" xfId="1" applyNumberFormat="1" applyFont="1" applyBorder="1" applyAlignment="1">
      <alignment horizontal="left" vertical="center"/>
    </xf>
    <xf numFmtId="0" fontId="11" fillId="0" borderId="15" xfId="1" applyFont="1" applyBorder="1" applyAlignment="1">
      <alignment horizontal="center"/>
    </xf>
    <xf numFmtId="0" fontId="56" fillId="0" borderId="15" xfId="1" applyFont="1" applyBorder="1" applyAlignment="1">
      <alignment horizontal="center"/>
    </xf>
    <xf numFmtId="0" fontId="59" fillId="0" borderId="0" xfId="1" applyFont="1" applyAlignment="1">
      <alignment horizontal="right" vertical="center"/>
    </xf>
    <xf numFmtId="178" fontId="59" fillId="0" borderId="0" xfId="1" applyNumberFormat="1" applyFont="1" applyAlignment="1">
      <alignment horizontal="left" vertical="center"/>
    </xf>
    <xf numFmtId="0" fontId="60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/>
    </xf>
    <xf numFmtId="0" fontId="13" fillId="11" borderId="0" xfId="1" applyFont="1" applyFill="1" applyAlignment="1" applyProtection="1">
      <alignment horizontal="center"/>
      <protection locked="0"/>
    </xf>
    <xf numFmtId="0" fontId="13" fillId="11" borderId="14" xfId="1" applyFont="1" applyFill="1" applyBorder="1" applyAlignment="1" applyProtection="1">
      <alignment horizontal="center"/>
      <protection locked="0"/>
    </xf>
    <xf numFmtId="0" fontId="53" fillId="0" borderId="0" xfId="1" applyFont="1" applyAlignment="1">
      <alignment horizontal="center"/>
    </xf>
    <xf numFmtId="0" fontId="53" fillId="0" borderId="14" xfId="1" applyFont="1" applyBorder="1" applyAlignment="1">
      <alignment horizontal="center"/>
    </xf>
    <xf numFmtId="0" fontId="54" fillId="0" borderId="0" xfId="1" applyFont="1" applyAlignment="1">
      <alignment horizontal="right" vertical="center"/>
    </xf>
    <xf numFmtId="0" fontId="54" fillId="0" borderId="16" xfId="1" applyFont="1" applyBorder="1" applyAlignment="1">
      <alignment horizontal="right" vertical="center"/>
    </xf>
    <xf numFmtId="0" fontId="71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71" fillId="0" borderId="16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" xfId="1" applyFont="1" applyBorder="1" applyAlignment="1">
      <alignment horizontal="right"/>
    </xf>
    <xf numFmtId="0" fontId="8" fillId="0" borderId="3" xfId="1" applyFont="1" applyBorder="1" applyAlignment="1">
      <alignment horizontal="right"/>
    </xf>
    <xf numFmtId="0" fontId="8" fillId="0" borderId="4" xfId="1" applyFont="1" applyBorder="1" applyAlignment="1">
      <alignment horizontal="right"/>
    </xf>
    <xf numFmtId="0" fontId="59" fillId="0" borderId="0" xfId="1" applyFont="1" applyAlignment="1">
      <alignment horizontal="center" vertical="center"/>
    </xf>
    <xf numFmtId="0" fontId="59" fillId="0" borderId="1" xfId="1" applyFont="1" applyBorder="1" applyAlignment="1">
      <alignment horizontal="center" vertical="center"/>
    </xf>
    <xf numFmtId="0" fontId="23" fillId="0" borderId="0" xfId="1" applyFont="1" applyAlignment="1">
      <alignment horizontal="right" vertical="center"/>
    </xf>
    <xf numFmtId="0" fontId="46" fillId="2" borderId="2" xfId="0" applyFont="1" applyFill="1" applyBorder="1" applyAlignment="1" applyProtection="1">
      <alignment horizontal="center"/>
      <protection locked="0"/>
    </xf>
    <xf numFmtId="0" fontId="46" fillId="2" borderId="3" xfId="0" applyFont="1" applyFill="1" applyBorder="1" applyAlignment="1" applyProtection="1">
      <alignment horizontal="center"/>
      <protection locked="0"/>
    </xf>
    <xf numFmtId="0" fontId="46" fillId="2" borderId="4" xfId="0" applyFont="1" applyFill="1" applyBorder="1" applyAlignment="1" applyProtection="1">
      <alignment horizontal="center"/>
      <protection locked="0"/>
    </xf>
    <xf numFmtId="0" fontId="47" fillId="5" borderId="2" xfId="0" applyFont="1" applyFill="1" applyBorder="1" applyAlignment="1" applyProtection="1">
      <alignment horizontal="center"/>
      <protection locked="0"/>
    </xf>
    <xf numFmtId="0" fontId="47" fillId="5" borderId="3" xfId="0" applyFont="1" applyFill="1" applyBorder="1" applyAlignment="1" applyProtection="1">
      <alignment horizontal="center"/>
      <protection locked="0"/>
    </xf>
    <xf numFmtId="0" fontId="47" fillId="5" borderId="4" xfId="0" applyFont="1" applyFill="1" applyBorder="1" applyAlignment="1" applyProtection="1">
      <alignment horizontal="center"/>
      <protection locked="0"/>
    </xf>
    <xf numFmtId="0" fontId="48" fillId="7" borderId="5" xfId="0" applyFont="1" applyFill="1" applyBorder="1" applyAlignment="1" applyProtection="1">
      <alignment horizontal="center" wrapText="1"/>
      <protection locked="0"/>
    </xf>
    <xf numFmtId="0" fontId="48" fillId="7" borderId="3" xfId="0" applyFont="1" applyFill="1" applyBorder="1" applyAlignment="1" applyProtection="1">
      <alignment horizontal="center" wrapText="1"/>
      <protection locked="0"/>
    </xf>
    <xf numFmtId="0" fontId="48" fillId="7" borderId="4" xfId="0" applyFont="1" applyFill="1" applyBorder="1" applyAlignment="1" applyProtection="1">
      <alignment horizontal="center" wrapText="1"/>
      <protection locked="0"/>
    </xf>
    <xf numFmtId="0" fontId="18" fillId="10" borderId="2" xfId="0" applyFont="1" applyFill="1" applyBorder="1" applyAlignment="1">
      <alignment horizontal="center"/>
    </xf>
    <xf numFmtId="0" fontId="18" fillId="10" borderId="4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170" fontId="4" fillId="5" borderId="2" xfId="0" applyNumberFormat="1" applyFont="1" applyFill="1" applyBorder="1" applyAlignment="1" applyProtection="1">
      <alignment horizontal="center" vertical="center"/>
      <protection locked="0"/>
    </xf>
    <xf numFmtId="170" fontId="4" fillId="5" borderId="3" xfId="0" applyNumberFormat="1" applyFont="1" applyFill="1" applyBorder="1" applyAlignment="1" applyProtection="1">
      <alignment horizontal="center" vertical="center"/>
      <protection locked="0"/>
    </xf>
    <xf numFmtId="170" fontId="4" fillId="5" borderId="4" xfId="0" applyNumberFormat="1" applyFont="1" applyFill="1" applyBorder="1" applyAlignment="1" applyProtection="1">
      <alignment horizontal="center" vertical="center"/>
      <protection locked="0"/>
    </xf>
    <xf numFmtId="0" fontId="21" fillId="4" borderId="2" xfId="0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170" fontId="46" fillId="17" borderId="2" xfId="0" applyNumberFormat="1" applyFont="1" applyFill="1" applyBorder="1" applyAlignment="1" applyProtection="1">
      <alignment horizontal="center"/>
      <protection locked="0"/>
    </xf>
    <xf numFmtId="170" fontId="46" fillId="17" borderId="3" xfId="0" applyNumberFormat="1" applyFont="1" applyFill="1" applyBorder="1" applyAlignment="1" applyProtection="1">
      <alignment horizontal="center"/>
      <protection locked="0"/>
    </xf>
    <xf numFmtId="170" fontId="46" fillId="17" borderId="4" xfId="0" applyNumberFormat="1" applyFont="1" applyFill="1" applyBorder="1" applyAlignment="1" applyProtection="1">
      <alignment horizontal="center"/>
      <protection locked="0"/>
    </xf>
    <xf numFmtId="0" fontId="17" fillId="10" borderId="2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3" fillId="14" borderId="2" xfId="0" applyFont="1" applyFill="1" applyBorder="1" applyAlignment="1" applyProtection="1">
      <alignment horizontal="center"/>
      <protection locked="0"/>
    </xf>
    <xf numFmtId="0" fontId="3" fillId="14" borderId="3" xfId="0" applyFont="1" applyFill="1" applyBorder="1" applyAlignment="1" applyProtection="1">
      <alignment horizontal="center"/>
      <protection locked="0"/>
    </xf>
    <xf numFmtId="0" fontId="3" fillId="14" borderId="4" xfId="0" applyFont="1" applyFill="1" applyBorder="1" applyAlignment="1" applyProtection="1">
      <alignment horizontal="center"/>
      <protection locked="0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49" fillId="8" borderId="2" xfId="0" applyFont="1" applyFill="1" applyBorder="1" applyAlignment="1" applyProtection="1">
      <alignment horizontal="center" vertical="center"/>
      <protection locked="0"/>
    </xf>
    <xf numFmtId="0" fontId="49" fillId="8" borderId="3" xfId="0" applyFont="1" applyFill="1" applyBorder="1" applyAlignment="1" applyProtection="1">
      <alignment horizontal="center" vertical="center"/>
      <protection locked="0"/>
    </xf>
    <xf numFmtId="0" fontId="49" fillId="8" borderId="4" xfId="0" applyFont="1" applyFill="1" applyBorder="1" applyAlignment="1" applyProtection="1">
      <alignment horizontal="center" vertical="center"/>
      <protection locked="0"/>
    </xf>
    <xf numFmtId="177" fontId="4" fillId="8" borderId="2" xfId="0" applyNumberFormat="1" applyFont="1" applyFill="1" applyBorder="1" applyAlignment="1" applyProtection="1">
      <alignment horizontal="center" vertical="center"/>
      <protection locked="0"/>
    </xf>
    <xf numFmtId="177" fontId="4" fillId="8" borderId="3" xfId="0" applyNumberFormat="1" applyFont="1" applyFill="1" applyBorder="1" applyAlignment="1" applyProtection="1">
      <alignment horizontal="center" vertical="center"/>
      <protection locked="0"/>
    </xf>
    <xf numFmtId="177" fontId="4" fillId="8" borderId="4" xfId="0" applyNumberFormat="1" applyFont="1" applyFill="1" applyBorder="1" applyAlignment="1" applyProtection="1">
      <alignment horizontal="center" vertical="center"/>
      <protection locked="0"/>
    </xf>
    <xf numFmtId="0" fontId="3" fillId="9" borderId="2" xfId="0" applyFont="1" applyFill="1" applyBorder="1" applyAlignment="1" applyProtection="1">
      <alignment horizontal="center" vertical="center"/>
      <protection locked="0"/>
    </xf>
    <xf numFmtId="0" fontId="3" fillId="9" borderId="3" xfId="0" applyFont="1" applyFill="1" applyBorder="1" applyAlignment="1" applyProtection="1">
      <alignment horizontal="center" vertical="center"/>
      <protection locked="0"/>
    </xf>
    <xf numFmtId="0" fontId="3" fillId="9" borderId="4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43" fillId="19" borderId="1" xfId="0" applyFont="1" applyFill="1" applyBorder="1" applyAlignment="1">
      <alignment horizontal="center"/>
    </xf>
    <xf numFmtId="0" fontId="43" fillId="19" borderId="2" xfId="0" applyFont="1" applyFill="1" applyBorder="1" applyAlignment="1">
      <alignment horizontal="center"/>
    </xf>
    <xf numFmtId="0" fontId="43" fillId="19" borderId="4" xfId="0" applyFont="1" applyFill="1" applyBorder="1" applyAlignment="1">
      <alignment horizontal="center"/>
    </xf>
    <xf numFmtId="0" fontId="45" fillId="19" borderId="2" xfId="0" applyFont="1" applyFill="1" applyBorder="1" applyAlignment="1">
      <alignment horizontal="right" vertical="center"/>
    </xf>
    <xf numFmtId="0" fontId="45" fillId="19" borderId="3" xfId="0" applyFont="1" applyFill="1" applyBorder="1" applyAlignment="1">
      <alignment horizontal="right" vertical="center"/>
    </xf>
    <xf numFmtId="0" fontId="45" fillId="19" borderId="4" xfId="0" applyFont="1" applyFill="1" applyBorder="1" applyAlignment="1">
      <alignment horizontal="right" vertical="center"/>
    </xf>
    <xf numFmtId="0" fontId="44" fillId="19" borderId="2" xfId="0" applyFont="1" applyFill="1" applyBorder="1" applyAlignment="1">
      <alignment horizontal="center" vertical="center"/>
    </xf>
    <xf numFmtId="0" fontId="44" fillId="19" borderId="3" xfId="0" applyFont="1" applyFill="1" applyBorder="1" applyAlignment="1">
      <alignment horizontal="center" vertical="center"/>
    </xf>
    <xf numFmtId="0" fontId="44" fillId="19" borderId="4" xfId="0" applyFont="1" applyFill="1" applyBorder="1" applyAlignment="1">
      <alignment horizontal="center" vertical="center"/>
    </xf>
    <xf numFmtId="14" fontId="14" fillId="19" borderId="1" xfId="0" applyNumberFormat="1" applyFont="1" applyFill="1" applyBorder="1" applyAlignment="1">
      <alignment horizontal="center" vertical="center"/>
    </xf>
    <xf numFmtId="0" fontId="44" fillId="19" borderId="1" xfId="0" applyFont="1" applyFill="1" applyBorder="1" applyAlignment="1">
      <alignment horizontal="center" wrapText="1"/>
    </xf>
    <xf numFmtId="0" fontId="44" fillId="19" borderId="2" xfId="0" applyFont="1" applyFill="1" applyBorder="1" applyAlignment="1">
      <alignment horizontal="center" wrapText="1"/>
    </xf>
    <xf numFmtId="0" fontId="44" fillId="19" borderId="4" xfId="0" applyFont="1" applyFill="1" applyBorder="1" applyAlignment="1">
      <alignment horizontal="center" wrapText="1"/>
    </xf>
    <xf numFmtId="0" fontId="40" fillId="0" borderId="0" xfId="0" applyFont="1" applyAlignment="1">
      <alignment horizontal="center"/>
    </xf>
  </cellXfs>
  <cellStyles count="8">
    <cellStyle name="Millares 2" xfId="2" xr:uid="{00000000-0005-0000-0000-000000000000}"/>
    <cellStyle name="Millares 2 2" xfId="3" xr:uid="{00000000-0005-0000-0000-000001000000}"/>
    <cellStyle name="Millares 2 3" xfId="7" xr:uid="{00000000-0005-0000-0000-000002000000}"/>
    <cellStyle name="Millares 3" xfId="4" xr:uid="{00000000-0005-0000-0000-000003000000}"/>
    <cellStyle name="Millares 4" xfId="5" xr:uid="{00000000-0005-0000-0000-000004000000}"/>
    <cellStyle name="Normal" xfId="0" builtinId="0"/>
    <cellStyle name="Normal 2" xfId="1" xr:uid="{00000000-0005-0000-0000-000006000000}"/>
    <cellStyle name="Normal 3" xfId="6" xr:uid="{00000000-0005-0000-0000-000007000000}"/>
  </cellStyles>
  <dxfs count="0"/>
  <tableStyles count="0" defaultTableStyle="TableStyleMedium2" defaultPivotStyle="PivotStyleLight16"/>
  <colors>
    <mruColors>
      <color rgb="FFFF99CC"/>
      <color rgb="FF66FFFF"/>
      <color rgb="FF66FF66"/>
      <color rgb="FF66FF99"/>
      <color rgb="FFFFFFCC"/>
      <color rgb="FF0033CC"/>
      <color rgb="FFFF9966"/>
      <color rgb="FFCC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18</xdr:col>
      <xdr:colOff>0</xdr:colOff>
      <xdr:row>1</xdr:row>
      <xdr:rowOff>28574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438275" y="0"/>
          <a:ext cx="5915025" cy="866774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600" b="1" i="1" strike="noStrike">
              <a:solidFill>
                <a:srgbClr val="000000"/>
              </a:solidFill>
              <a:latin typeface="Calibri"/>
            </a:rPr>
            <a:t>POLICLÍNICO</a:t>
          </a:r>
          <a:r>
            <a:rPr lang="es-ES" sz="1600" b="1" i="1" strike="noStrike" baseline="0">
              <a:solidFill>
                <a:srgbClr val="000000"/>
              </a:solidFill>
              <a:latin typeface="Calibri"/>
            </a:rPr>
            <a:t> PAISE EL ALTO</a:t>
          </a:r>
          <a:r>
            <a:rPr lang="es-ES" sz="1600" b="1" i="1" strike="noStrike">
              <a:solidFill>
                <a:srgbClr val="000000"/>
              </a:solidFill>
              <a:latin typeface="Calibri"/>
            </a:rPr>
            <a:t>- LABORATORIO</a:t>
          </a:r>
        </a:p>
        <a:p>
          <a:pPr algn="ctr" rtl="0">
            <a:defRPr sz="1000"/>
          </a:pPr>
          <a:r>
            <a:rPr lang="es-ES" sz="1600" b="1" i="1" strike="noStrike">
              <a:solidFill>
                <a:srgbClr val="000000"/>
              </a:solidFill>
              <a:latin typeface="Calibri"/>
            </a:rPr>
            <a:t>HEMATOLOGÍA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</xdr:rowOff>
    </xdr:from>
    <xdr:to>
      <xdr:col>16</xdr:col>
      <xdr:colOff>0</xdr:colOff>
      <xdr:row>1</xdr:row>
      <xdr:rowOff>10584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76201" y="1"/>
          <a:ext cx="5848349" cy="66780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QUÍMICAS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</xdr:rowOff>
    </xdr:from>
    <xdr:to>
      <xdr:col>16</xdr:col>
      <xdr:colOff>0</xdr:colOff>
      <xdr:row>1</xdr:row>
      <xdr:rowOff>10584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76201" y="1"/>
          <a:ext cx="5848349" cy="66780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QUÍMICAS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</xdr:rowOff>
    </xdr:from>
    <xdr:to>
      <xdr:col>16</xdr:col>
      <xdr:colOff>0</xdr:colOff>
      <xdr:row>1</xdr:row>
      <xdr:rowOff>10584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1513418" y="1"/>
          <a:ext cx="5820832" cy="656166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QUÍMICAS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</xdr:rowOff>
    </xdr:from>
    <xdr:to>
      <xdr:col>16</xdr:col>
      <xdr:colOff>0</xdr:colOff>
      <xdr:row>1</xdr:row>
      <xdr:rowOff>10584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76201" y="1"/>
          <a:ext cx="5791199" cy="848783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QUÍMICAS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</xdr:rowOff>
    </xdr:from>
    <xdr:to>
      <xdr:col>16</xdr:col>
      <xdr:colOff>0</xdr:colOff>
      <xdr:row>1</xdr:row>
      <xdr:rowOff>10584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76201" y="1"/>
          <a:ext cx="5791199" cy="848783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600" b="1" i="1" strike="noStrike">
              <a:solidFill>
                <a:srgbClr val="000000"/>
              </a:solidFill>
              <a:latin typeface="Calibri"/>
            </a:rPr>
            <a:t>SEROLOGIA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17</xdr:col>
      <xdr:colOff>728869</xdr:colOff>
      <xdr:row>0</xdr:row>
      <xdr:rowOff>513522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1830457" y="0"/>
          <a:ext cx="5549347" cy="513522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EXAMEN GENERAL DE ORINA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26276</xdr:rowOff>
    </xdr:from>
    <xdr:to>
      <xdr:col>16</xdr:col>
      <xdr:colOff>0</xdr:colOff>
      <xdr:row>1</xdr:row>
      <xdr:rowOff>36859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78829" y="26276"/>
          <a:ext cx="5787257" cy="667480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QUÍMICAS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</xdr:rowOff>
    </xdr:from>
    <xdr:to>
      <xdr:col>16</xdr:col>
      <xdr:colOff>0</xdr:colOff>
      <xdr:row>1</xdr:row>
      <xdr:rowOff>10584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76201" y="1"/>
          <a:ext cx="5791199" cy="66780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QUÍMICAS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</xdr:rowOff>
    </xdr:from>
    <xdr:to>
      <xdr:col>16</xdr:col>
      <xdr:colOff>0</xdr:colOff>
      <xdr:row>1</xdr:row>
      <xdr:rowOff>10584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76201" y="1"/>
          <a:ext cx="5791199" cy="66780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QUÍMICAS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</xdr:rowOff>
    </xdr:from>
    <xdr:to>
      <xdr:col>16</xdr:col>
      <xdr:colOff>0</xdr:colOff>
      <xdr:row>1</xdr:row>
      <xdr:rowOff>10584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76201" y="1"/>
          <a:ext cx="5791199" cy="66780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POLICLINICO</a:t>
          </a:r>
          <a:r>
            <a:rPr lang="es-ES" sz="1050" b="1" i="1" strike="noStrike" baseline="0">
              <a:solidFill>
                <a:srgbClr val="000000"/>
              </a:solidFill>
              <a:latin typeface="Calibri"/>
            </a:rPr>
            <a:t> PAISE EL LATO </a:t>
          </a:r>
          <a:r>
            <a:rPr lang="es-ES" sz="1050" b="1" i="1" strike="noStrike">
              <a:solidFill>
                <a:srgbClr val="000000"/>
              </a:solidFill>
              <a:latin typeface="Calibri"/>
            </a:rPr>
            <a:t> - Laboratorio</a:t>
          </a:r>
        </a:p>
        <a:p>
          <a:pPr algn="ctr" rtl="0">
            <a:defRPr sz="1000"/>
          </a:pPr>
          <a:endParaRPr lang="es-ES" sz="1050" b="1" i="1" strike="noStrike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s-ES" sz="1050" b="1" i="1" strike="noStrike">
              <a:solidFill>
                <a:srgbClr val="000000"/>
              </a:solidFill>
              <a:latin typeface="Calibri"/>
            </a:rPr>
            <a:t>QUÍMICAS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NS%20LAB\LIQUIDO%20SINVIAL%20REP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BORATORIO\GESTION%202023\ESTADISTICA%202023\4.%20ABRIL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AHI\Desktop\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BORATORIO\GESTION%202021\HEMODIALISIS\FEBRERO\FEBRERO%20H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SULTADOS%20DICIEMBRE%202020\RESULTADOS%2030-12-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O"/>
      <sheetName val="G+E"/>
      <sheetName val="ELEC"/>
      <sheetName val="COVID"/>
      <sheetName val="PROT 24H."/>
      <sheetName val="COPRO"/>
      <sheetName val="TP"/>
      <sheetName val="LIQ"/>
      <sheetName val="CURVA"/>
      <sheetName val="EGO"/>
      <sheetName val="QMC"/>
      <sheetName val="SERO"/>
      <sheetName val="HTO-HB"/>
      <sheetName val="MKB"/>
      <sheetName val="HC Y COAG"/>
      <sheetName val="HC+TP+QMC+SER"/>
      <sheetName val="TODO"/>
      <sheetName val="G.S."/>
      <sheetName val="TEMB"/>
      <sheetName val="DATOS"/>
      <sheetName val="H.C.EN PROCESO"/>
      <sheetName val="SNIS NO TOC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DATOS DEL PACIENTE</v>
          </cell>
        </row>
        <row r="1098">
          <cell r="Q1098" t="str">
            <v>Bqm. Pamela K. Nuñez Nuñez</v>
          </cell>
          <cell r="DO1098" t="str">
            <v>AMARILLO</v>
          </cell>
          <cell r="DP1098" t="str">
            <v>LIMPIDO</v>
          </cell>
          <cell r="DQ1098" t="str">
            <v>SUI GENERIS</v>
          </cell>
          <cell r="DS1098" t="str">
            <v>ACIDO</v>
          </cell>
          <cell r="DU1098" t="str">
            <v>FUGAZ</v>
          </cell>
          <cell r="DW1098" t="str">
            <v>No Cont.</v>
          </cell>
        </row>
        <row r="1099">
          <cell r="Q1099" t="str">
            <v>Btc. Rossmilda Garcia Vargas</v>
          </cell>
          <cell r="DO1099" t="str">
            <v>AMARILLO CLARO</v>
          </cell>
          <cell r="DP1099" t="str">
            <v>LIG. OPALESCENTE</v>
          </cell>
          <cell r="DQ1099" t="str">
            <v>FETIDO</v>
          </cell>
          <cell r="DS1099" t="str">
            <v>NEUTRO</v>
          </cell>
          <cell r="DU1099" t="str">
            <v>PERSISTENTE</v>
          </cell>
          <cell r="DW1099" t="str">
            <v>TRAZAS</v>
          </cell>
        </row>
        <row r="1100">
          <cell r="Q1100" t="str">
            <v>Lic. Lourdes Yana Quisbert</v>
          </cell>
          <cell r="DO1100" t="str">
            <v>AMBAR</v>
          </cell>
          <cell r="DP1100" t="str">
            <v>OPALESCENTE</v>
          </cell>
          <cell r="DQ1100" t="str">
            <v>LIG. FETIDO</v>
          </cell>
          <cell r="DS1100" t="str">
            <v>ALCALINO</v>
          </cell>
          <cell r="DW1100" t="str">
            <v>Cont. +</v>
          </cell>
        </row>
        <row r="1101">
          <cell r="Q1101" t="str">
            <v>Bqm. Daniela J. Valdez A.</v>
          </cell>
          <cell r="DO1101" t="str">
            <v>CAFÉ</v>
          </cell>
          <cell r="DP1101" t="str">
            <v>TURBIO</v>
          </cell>
          <cell r="DQ1101" t="str">
            <v>FRUTAL</v>
          </cell>
          <cell r="DW1101" t="str">
            <v>Cont. ++</v>
          </cell>
        </row>
        <row r="1102">
          <cell r="Q1102" t="str">
            <v>Btc. Wilfer Hilaquita C.</v>
          </cell>
          <cell r="DO1102" t="str">
            <v>ROSADO</v>
          </cell>
          <cell r="DP1102" t="str">
            <v>LIG. TURBIO</v>
          </cell>
          <cell r="DW1102" t="str">
            <v>Cont. +++</v>
          </cell>
        </row>
        <row r="1103">
          <cell r="Q1103" t="str">
            <v>Bqm. Anahi J. Vigabriel C.</v>
          </cell>
          <cell r="DO1103" t="str">
            <v>CAOBA</v>
          </cell>
          <cell r="DW1103" t="str">
            <v>INDICIOS</v>
          </cell>
        </row>
        <row r="1104">
          <cell r="Q1104" t="str">
            <v>Lic. Nancy Laura Valdez</v>
          </cell>
          <cell r="DO1104" t="str">
            <v>AMARILLO ROJIZO</v>
          </cell>
        </row>
        <row r="1105">
          <cell r="Q1105" t="str">
            <v>Bqm. Melani Moya Bozo</v>
          </cell>
          <cell r="DO1105" t="str">
            <v>INCOLORO</v>
          </cell>
        </row>
        <row r="1106">
          <cell r="DO1106" t="str">
            <v>PAJIZO</v>
          </cell>
        </row>
        <row r="1107">
          <cell r="DO1107" t="str">
            <v>NARANJA</v>
          </cell>
        </row>
        <row r="1108">
          <cell r="DO1108" t="str">
            <v>AZUL</v>
          </cell>
        </row>
        <row r="1109">
          <cell r="DO1109" t="str">
            <v>VERDE</v>
          </cell>
        </row>
      </sheetData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O"/>
      <sheetName val="G+E"/>
      <sheetName val="ELEC"/>
      <sheetName val="COVID"/>
      <sheetName val="PROT 24H."/>
      <sheetName val="TP"/>
      <sheetName val="COPRO"/>
      <sheetName val="LIQ"/>
      <sheetName val="CURVA"/>
      <sheetName val="EGO"/>
      <sheetName val="QMC"/>
      <sheetName val="SERO"/>
      <sheetName val="HTO-HB"/>
      <sheetName val="MKB"/>
      <sheetName val="HC Y COAG"/>
      <sheetName val="HC+TP+QMC+SER"/>
      <sheetName val="TODO"/>
      <sheetName val="G.S."/>
      <sheetName val="TEMB"/>
      <sheetName val="DATOS"/>
      <sheetName val="H.C.EN PROCESO"/>
      <sheetName val="SNIS NO TOC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98">
          <cell r="Q1098" t="str">
            <v>Bqm. Pamela K. Nuñez Nuñez</v>
          </cell>
          <cell r="DO1098" t="str">
            <v>AMARILLO</v>
          </cell>
          <cell r="DP1098" t="str">
            <v>LIMPIDO</v>
          </cell>
          <cell r="DQ1098" t="str">
            <v>SUI GENERIS</v>
          </cell>
          <cell r="DS1098" t="str">
            <v>ACIDO</v>
          </cell>
          <cell r="DU1098" t="str">
            <v>FUGAZ</v>
          </cell>
          <cell r="DW1098" t="str">
            <v>No Cont.</v>
          </cell>
        </row>
        <row r="1099">
          <cell r="Q1099" t="str">
            <v>Btc. Rossmilda Garcia Vargas</v>
          </cell>
          <cell r="DO1099" t="str">
            <v>AMARILLO CLARO</v>
          </cell>
          <cell r="DP1099" t="str">
            <v>LIG. OPALESCENTE</v>
          </cell>
          <cell r="DQ1099" t="str">
            <v>FETIDO</v>
          </cell>
          <cell r="DS1099" t="str">
            <v>NEUTRO</v>
          </cell>
          <cell r="DU1099" t="str">
            <v>PERSISTENTE</v>
          </cell>
          <cell r="DW1099" t="str">
            <v>TRAZAS</v>
          </cell>
        </row>
        <row r="1100">
          <cell r="Q1100" t="str">
            <v>Lic. Lourdes Yana Quisbert</v>
          </cell>
          <cell r="DO1100" t="str">
            <v>AMBAR</v>
          </cell>
          <cell r="DP1100" t="str">
            <v>OPALESCENTE</v>
          </cell>
          <cell r="DQ1100" t="str">
            <v>LIG. FETIDO</v>
          </cell>
          <cell r="DS1100" t="str">
            <v>ALCALINO</v>
          </cell>
          <cell r="DW1100" t="str">
            <v>Cont. +</v>
          </cell>
        </row>
        <row r="1101">
          <cell r="Q1101" t="str">
            <v>Bqm. Daniela J. Valdez A.</v>
          </cell>
          <cell r="DO1101" t="str">
            <v>CAFÉ</v>
          </cell>
          <cell r="DP1101" t="str">
            <v>TURBIO</v>
          </cell>
          <cell r="DQ1101" t="str">
            <v>FRUTAL</v>
          </cell>
          <cell r="DW1101" t="str">
            <v>Cont. ++</v>
          </cell>
        </row>
        <row r="1102">
          <cell r="Q1102" t="str">
            <v>Btc. Wilfer Hilaquita C.</v>
          </cell>
          <cell r="DO1102" t="str">
            <v>ROSADO</v>
          </cell>
          <cell r="DP1102" t="str">
            <v>LIG. TURBIO</v>
          </cell>
          <cell r="DW1102" t="str">
            <v>Cont. +++</v>
          </cell>
        </row>
        <row r="1103">
          <cell r="Q1103" t="str">
            <v>Bqm. Anahi J. Vigabriel C.</v>
          </cell>
          <cell r="DO1103" t="str">
            <v>CAOBA</v>
          </cell>
          <cell r="DW1103" t="str">
            <v>INDICIOS</v>
          </cell>
        </row>
        <row r="1104">
          <cell r="Q1104" t="str">
            <v>Lic. Nancy Laura Valdez</v>
          </cell>
          <cell r="DO1104" t="str">
            <v>AMARILLO ROJIZO</v>
          </cell>
        </row>
        <row r="1105">
          <cell r="Q1105" t="str">
            <v>Bqm. Melani Moya Bozo</v>
          </cell>
          <cell r="DO1105" t="str">
            <v>INCOLORO</v>
          </cell>
        </row>
        <row r="1106">
          <cell r="DO1106" t="str">
            <v>PAJIZO</v>
          </cell>
        </row>
        <row r="1107">
          <cell r="DO1107" t="str">
            <v>NARANJA</v>
          </cell>
        </row>
        <row r="1108">
          <cell r="DO1108" t="str">
            <v>AZUL</v>
          </cell>
        </row>
        <row r="1109">
          <cell r="DO1109" t="str">
            <v>VERDE</v>
          </cell>
        </row>
      </sheetData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DO"/>
      <sheetName val="HC-TP"/>
      <sheetName val="HC-TP-GLI-CREA"/>
      <sheetName val="EGO"/>
      <sheetName val="QMC"/>
      <sheetName val="ELEC+GASO"/>
      <sheetName val="SERO"/>
      <sheetName val="COPRO"/>
      <sheetName val="GASO"/>
      <sheetName val="P.R. COVID19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Centro:</v>
          </cell>
        </row>
        <row r="3005">
          <cell r="H3005" t="str">
            <v>FEMENINO</v>
          </cell>
          <cell r="AQ3005" t="str">
            <v>Dra. Pamela Vera Boyán</v>
          </cell>
          <cell r="CS3005" t="str">
            <v>ACIDO</v>
          </cell>
          <cell r="DF3005" t="str">
            <v>ESCASAS</v>
          </cell>
        </row>
        <row r="3006">
          <cell r="H3006" t="str">
            <v>MASCULINO</v>
          </cell>
          <cell r="AQ3006" t="str">
            <v>Btc. Rossmilda Garcia Vargas</v>
          </cell>
          <cell r="CS3006" t="str">
            <v>ALCALINO</v>
          </cell>
          <cell r="DF3006" t="str">
            <v>REGULAR</v>
          </cell>
        </row>
        <row r="3007">
          <cell r="AQ3007" t="str">
            <v>Btc. Ana Blanco Cáceres</v>
          </cell>
          <cell r="CS3007" t="str">
            <v>NEUTRO</v>
          </cell>
          <cell r="DF3007" t="str">
            <v>MODERADAS</v>
          </cell>
        </row>
        <row r="3008">
          <cell r="AQ3008" t="str">
            <v>Btc. Wilfer Hilaquita C.</v>
          </cell>
          <cell r="DF3008" t="str">
            <v>ABUNDANTES</v>
          </cell>
        </row>
        <row r="3009">
          <cell r="AQ3009" t="str">
            <v>Dra. Anahi J. Vigabriel C.</v>
          </cell>
        </row>
        <row r="3010">
          <cell r="AQ3010" t="str">
            <v>Lic. Nancy Laura Valdez</v>
          </cell>
        </row>
        <row r="3011">
          <cell r="AQ3011" t="str">
            <v>Dra. Pamela K. Nuñez Nuñez</v>
          </cell>
        </row>
        <row r="3012">
          <cell r="AQ3012" t="str">
            <v>Dr. Aldhair Luna Rodriguez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C-TP"/>
      <sheetName val="Hoja1"/>
      <sheetName val="DATOS"/>
    </sheetNames>
    <sheetDataSet>
      <sheetData sheetId="0"/>
      <sheetData sheetId="1"/>
      <sheetData sheetId="2">
        <row r="3005">
          <cell r="H3005" t="str">
            <v>FEMENINO</v>
          </cell>
        </row>
        <row r="3006">
          <cell r="FL3006" t="str">
            <v>Dra. Pamela Vera Boyán</v>
          </cell>
        </row>
        <row r="3007">
          <cell r="FL3007" t="str">
            <v>Btc. Rossmilda Garcia Vargas</v>
          </cell>
        </row>
        <row r="3008">
          <cell r="FL3008" t="str">
            <v>Btc. Ana Blanco Cáceres</v>
          </cell>
        </row>
        <row r="3009">
          <cell r="FL3009" t="str">
            <v>Btc. Wilfer Hilaquita C.</v>
          </cell>
        </row>
        <row r="3010">
          <cell r="FL3010" t="str">
            <v>Dra. Anahi J. Vigabriel C.</v>
          </cell>
        </row>
        <row r="3011">
          <cell r="FL3011" t="str">
            <v>Lic. Nancy Laura Valdez</v>
          </cell>
        </row>
        <row r="3012">
          <cell r="FL3012" t="str">
            <v>Dra. Pamela K. Nuñez Nuñez</v>
          </cell>
        </row>
        <row r="3013">
          <cell r="FL3013" t="str">
            <v>Dra. Karla Chavez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MATO"/>
      <sheetName val="QMC 1"/>
      <sheetName val="QMC 2"/>
      <sheetName val="EGO"/>
      <sheetName val="SERO"/>
      <sheetName val="C.FECAL"/>
      <sheetName val="DATOS"/>
    </sheetNames>
    <sheetDataSet>
      <sheetData sheetId="0" refreshError="1">
        <row r="1">
          <cell r="R1">
            <v>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W41"/>
  <sheetViews>
    <sheetView showGridLines="0" topLeftCell="B1" zoomScale="76" zoomScaleNormal="175" zoomScaleSheetLayoutView="160" zoomScalePageLayoutView="120" workbookViewId="0">
      <selection activeCell="S1" sqref="S1:T1"/>
    </sheetView>
  </sheetViews>
  <sheetFormatPr baseColWidth="10" defaultColWidth="0" defaultRowHeight="0" customHeight="1" zeroHeight="1" x14ac:dyDescent="0.3"/>
  <cols>
    <col min="1" max="1" width="6.6640625" style="11" hidden="1" customWidth="1"/>
    <col min="2" max="2" width="6.6640625" style="11" customWidth="1"/>
    <col min="3" max="3" width="16.109375" style="7" customWidth="1"/>
    <col min="4" max="4" width="10.5546875" style="7" customWidth="1"/>
    <col min="5" max="5" width="2.44140625" style="7" customWidth="1"/>
    <col min="6" max="6" width="3.109375" style="7" customWidth="1"/>
    <col min="7" max="7" width="1" style="7" customWidth="1"/>
    <col min="8" max="8" width="7.5546875" style="7" customWidth="1"/>
    <col min="9" max="9" width="4.6640625" style="7" customWidth="1"/>
    <col min="10" max="10" width="9.109375" style="7" customWidth="1"/>
    <col min="11" max="11" width="5.6640625" style="13" customWidth="1"/>
    <col min="12" max="12" width="4.109375" style="7" customWidth="1"/>
    <col min="13" max="13" width="0.44140625" style="7" customWidth="1"/>
    <col min="14" max="14" width="0.109375" style="7" customWidth="1"/>
    <col min="15" max="15" width="6.6640625" style="7" customWidth="1"/>
    <col min="16" max="16" width="4.6640625" style="7" customWidth="1"/>
    <col min="17" max="17" width="2" style="7" customWidth="1"/>
    <col min="18" max="18" width="6" style="7" customWidth="1"/>
    <col min="19" max="19" width="5.44140625" style="7" customWidth="1"/>
    <col min="20" max="20" width="4.5546875" style="7" customWidth="1"/>
    <col min="21" max="21" width="3.109375" style="8" customWidth="1"/>
    <col min="22" max="22" width="0.44140625" style="8" customWidth="1"/>
    <col min="23" max="23" width="0.109375" style="8" customWidth="1"/>
    <col min="24" max="16384" width="4.44140625" style="8" hidden="1"/>
  </cols>
  <sheetData>
    <row r="1" spans="1:21" ht="58.5" customHeight="1" x14ac:dyDescent="0.6">
      <c r="S1" s="434">
        <v>12</v>
      </c>
      <c r="T1" s="434"/>
    </row>
    <row r="2" spans="1:21" ht="22.5" customHeight="1" x14ac:dyDescent="0.4">
      <c r="D2" s="7">
        <f>LOOKUP(S1,DATOS!A:A,DATOS!R:R)</f>
        <v>0</v>
      </c>
      <c r="J2" s="438">
        <f>LOOKUP(S1,DATOS!A:A,DATOS!B:B)</f>
        <v>12</v>
      </c>
      <c r="K2" s="39"/>
      <c r="L2" s="441" t="s">
        <v>375</v>
      </c>
      <c r="M2" s="441"/>
      <c r="N2" s="441"/>
      <c r="O2" s="441"/>
      <c r="P2" s="441"/>
      <c r="Q2" s="439" t="str">
        <f>LOOKUP(S1,DATOS!A:A,DATOS!J:J)</f>
        <v>890805 CCH</v>
      </c>
      <c r="R2" s="439"/>
      <c r="S2" s="439"/>
      <c r="T2" s="439"/>
    </row>
    <row r="3" spans="1:21" ht="8.25" customHeight="1" x14ac:dyDescent="0.3">
      <c r="J3" s="438"/>
      <c r="K3" s="41"/>
      <c r="L3" s="9"/>
      <c r="M3" s="28"/>
      <c r="N3" s="9"/>
      <c r="O3" s="42"/>
      <c r="P3" s="8"/>
      <c r="Q3" s="8"/>
      <c r="S3" s="43"/>
      <c r="T3" s="8"/>
    </row>
    <row r="4" spans="1:21" ht="21.75" customHeight="1" x14ac:dyDescent="0.35">
      <c r="J4" s="438"/>
      <c r="K4" s="39"/>
      <c r="L4" s="440" t="s">
        <v>377</v>
      </c>
      <c r="M4" s="440"/>
      <c r="N4" s="440"/>
      <c r="O4" s="440"/>
      <c r="P4" s="435">
        <f>LOOKUP(S1,DATOS!A:A,DATOS!K:K)</f>
        <v>50</v>
      </c>
      <c r="Q4" s="435"/>
      <c r="R4" s="47" t="s">
        <v>387</v>
      </c>
      <c r="S4" s="270">
        <f>LOOKUP(S1,DATOS!A:A,DATOS!H:H)</f>
        <v>35</v>
      </c>
      <c r="T4" s="45" t="s">
        <v>159</v>
      </c>
    </row>
    <row r="5" spans="1:21" ht="26.25" customHeight="1" x14ac:dyDescent="0.3">
      <c r="C5" s="428" t="str">
        <f>LOOKUP(S1,DATOS!A:A,DATOS!N:N)</f>
        <v>DRA. CHAMBI</v>
      </c>
      <c r="D5" s="428"/>
      <c r="E5" s="428"/>
      <c r="H5" s="436" t="s">
        <v>156</v>
      </c>
      <c r="I5" s="436"/>
      <c r="J5" s="436"/>
      <c r="K5" s="437" t="str">
        <f>LOOKUP(S1,DATOS!A:A,DATOS!G:G)</f>
        <v>TORREZ VARGAS DELIA</v>
      </c>
      <c r="L5" s="437"/>
      <c r="M5" s="437"/>
      <c r="N5" s="437"/>
      <c r="O5" s="437"/>
      <c r="P5" s="437"/>
      <c r="Q5" s="437"/>
      <c r="R5" s="437"/>
      <c r="S5" s="437"/>
      <c r="T5" s="437"/>
    </row>
    <row r="6" spans="1:21" s="266" customFormat="1" ht="12" customHeight="1" x14ac:dyDescent="0.3">
      <c r="A6" s="262"/>
      <c r="B6" s="263"/>
      <c r="C6" s="429" t="s">
        <v>380</v>
      </c>
      <c r="D6" s="429"/>
      <c r="E6" s="429"/>
      <c r="F6" s="429"/>
      <c r="G6" s="264"/>
      <c r="H6" s="429" t="s">
        <v>379</v>
      </c>
      <c r="I6" s="429"/>
      <c r="J6" s="429"/>
      <c r="K6" s="429"/>
      <c r="L6" s="430" t="s">
        <v>378</v>
      </c>
      <c r="M6" s="430"/>
      <c r="N6" s="430"/>
      <c r="O6" s="430"/>
      <c r="P6" s="430"/>
      <c r="Q6" s="430"/>
      <c r="R6" s="265"/>
    </row>
    <row r="7" spans="1:21" ht="6" customHeight="1" x14ac:dyDescent="0.3">
      <c r="K7" s="39"/>
    </row>
    <row r="8" spans="1:21" ht="15.6" x14ac:dyDescent="0.3">
      <c r="C8" s="428" t="str">
        <f>LOOKUP(S1,DATOS!A:A,DATOS!L:L)</f>
        <v>PAISE EL ALTO</v>
      </c>
      <c r="D8" s="428"/>
      <c r="E8" s="428"/>
      <c r="G8" s="318"/>
      <c r="H8" s="433" t="str">
        <f>LOOKUP(S1,DATOS!A:A,DATOS!M:M)</f>
        <v>GINECOLOGIA</v>
      </c>
      <c r="I8" s="433"/>
      <c r="J8" s="433"/>
      <c r="K8" s="432">
        <f>LOOKUP(S1,DATOS!A:A,DATOS!O:O)</f>
        <v>46141</v>
      </c>
      <c r="L8" s="432"/>
      <c r="M8" s="432"/>
      <c r="N8" s="432"/>
      <c r="O8" s="432"/>
      <c r="P8" s="432"/>
      <c r="Q8" s="432"/>
      <c r="R8" s="432"/>
      <c r="S8" s="432"/>
      <c r="T8" s="432"/>
    </row>
    <row r="9" spans="1:21" s="266" customFormat="1" ht="12" customHeight="1" x14ac:dyDescent="0.3">
      <c r="A9" s="262"/>
      <c r="C9" s="431" t="s">
        <v>381</v>
      </c>
      <c r="D9" s="431"/>
      <c r="E9" s="431"/>
      <c r="F9" s="431"/>
      <c r="G9" s="431" t="s">
        <v>382</v>
      </c>
      <c r="H9" s="431"/>
      <c r="I9" s="431"/>
      <c r="J9" s="267"/>
      <c r="K9" s="267"/>
      <c r="L9" s="431" t="s">
        <v>383</v>
      </c>
      <c r="M9" s="431"/>
      <c r="N9" s="431"/>
      <c r="O9" s="431"/>
      <c r="P9" s="431"/>
      <c r="Q9" s="431"/>
      <c r="R9" s="267"/>
    </row>
    <row r="10" spans="1:21" ht="22.5" customHeight="1" x14ac:dyDescent="0.45">
      <c r="B10" s="8"/>
      <c r="C10" s="28"/>
      <c r="D10" s="28"/>
      <c r="E10" s="28"/>
      <c r="F10" s="28"/>
      <c r="G10" s="28"/>
      <c r="H10" s="28"/>
      <c r="I10" s="340" t="s">
        <v>249</v>
      </c>
      <c r="K10" s="7"/>
      <c r="L10" s="28"/>
      <c r="M10" s="28"/>
      <c r="N10" s="28"/>
      <c r="O10" s="28"/>
      <c r="P10" s="28"/>
      <c r="Q10" s="28"/>
      <c r="S10" s="8"/>
      <c r="T10" s="8"/>
    </row>
    <row r="11" spans="1:21" s="33" customFormat="1" ht="15.75" customHeight="1" x14ac:dyDescent="0.3">
      <c r="A11" s="32"/>
      <c r="B11" s="32"/>
      <c r="C11" s="326" t="s">
        <v>468</v>
      </c>
      <c r="D11" s="319">
        <f>D12*107000</f>
        <v>4922000</v>
      </c>
      <c r="E11" s="327" t="s">
        <v>469</v>
      </c>
      <c r="F11" s="54"/>
      <c r="G11" s="55"/>
      <c r="I11" s="326" t="s">
        <v>260</v>
      </c>
      <c r="J11" s="335">
        <f>LOOKUP(S1,DATOS!A:A,DATOS!Z:Z)</f>
        <v>8430</v>
      </c>
      <c r="K11" s="452" t="s">
        <v>428</v>
      </c>
      <c r="L11" s="452"/>
      <c r="M11" s="55"/>
      <c r="N11" s="55"/>
      <c r="O11" s="442" t="s">
        <v>480</v>
      </c>
      <c r="P11" s="442"/>
      <c r="Q11" s="442"/>
      <c r="R11" s="443">
        <f>LOOKUP(S1,DATOS!A:A,DATOS!AJ:AJ)</f>
        <v>215000</v>
      </c>
      <c r="S11" s="443"/>
      <c r="T11" s="336" t="s">
        <v>469</v>
      </c>
    </row>
    <row r="12" spans="1:21" ht="15" customHeight="1" x14ac:dyDescent="0.3">
      <c r="C12" s="168" t="s">
        <v>463</v>
      </c>
      <c r="D12" s="320">
        <f>LOOKUP(S1,DATOS!A:A,DATOS!U:U)</f>
        <v>46</v>
      </c>
      <c r="E12" s="47" t="s">
        <v>118</v>
      </c>
      <c r="F12" s="48"/>
      <c r="H12" s="448" t="s">
        <v>471</v>
      </c>
      <c r="I12" s="449"/>
      <c r="J12" s="328" t="s">
        <v>118</v>
      </c>
      <c r="K12" s="450" t="s">
        <v>428</v>
      </c>
      <c r="L12" s="450"/>
      <c r="M12" s="8"/>
      <c r="N12" s="8"/>
      <c r="O12" s="446" t="s">
        <v>481</v>
      </c>
      <c r="P12" s="446"/>
      <c r="Q12" s="446"/>
      <c r="R12" s="451">
        <f>LOOKUP(S1,DATOS!A:A,DATOS!AV:AV)</f>
        <v>12</v>
      </c>
      <c r="S12" s="451"/>
      <c r="T12" s="337" t="s">
        <v>485</v>
      </c>
    </row>
    <row r="13" spans="1:21" ht="12" customHeight="1" x14ac:dyDescent="0.3">
      <c r="C13" s="168" t="s">
        <v>464</v>
      </c>
      <c r="D13" s="321">
        <f>LOOKUP(S1,DATOS!A:A,DATOS!V:V)</f>
        <v>14.7</v>
      </c>
      <c r="E13" s="47" t="s">
        <v>252</v>
      </c>
      <c r="F13" s="52"/>
      <c r="H13" s="444" t="s">
        <v>472</v>
      </c>
      <c r="I13" s="444"/>
      <c r="J13" s="329">
        <f>LOOKUP(S1,DATOS!A:A,DATOS!AF:AF)</f>
        <v>0</v>
      </c>
      <c r="K13" s="445">
        <f>J13*J11/100</f>
        <v>0</v>
      </c>
      <c r="L13" s="445"/>
      <c r="M13" s="8"/>
      <c r="N13" s="8"/>
      <c r="O13" s="446" t="s">
        <v>482</v>
      </c>
      <c r="P13" s="446"/>
      <c r="Q13" s="446"/>
      <c r="R13" s="447">
        <f>LOOKUP(S1,DATOS!A:A,DATOS!AW:AW)</f>
        <v>100</v>
      </c>
      <c r="S13" s="447"/>
      <c r="T13" s="337" t="s">
        <v>118</v>
      </c>
    </row>
    <row r="14" spans="1:21" ht="13.5" customHeight="1" x14ac:dyDescent="0.3">
      <c r="C14" s="168" t="s">
        <v>465</v>
      </c>
      <c r="D14" s="322">
        <f>LOOKUP(S1,DATOS!A:A,DATOS!AL:AL)</f>
        <v>0</v>
      </c>
      <c r="E14" s="47" t="s">
        <v>118</v>
      </c>
      <c r="F14" s="48"/>
      <c r="H14" s="461" t="s">
        <v>473</v>
      </c>
      <c r="I14" s="461"/>
      <c r="J14" s="329">
        <f>LOOKUP(S1,DATOS!A:A,DATOS!AG:AG)</f>
        <v>0</v>
      </c>
      <c r="K14" s="454">
        <f>J14*J11/100</f>
        <v>0</v>
      </c>
      <c r="L14" s="454"/>
      <c r="M14" s="8"/>
      <c r="N14" s="8"/>
      <c r="O14" s="446" t="s">
        <v>25</v>
      </c>
      <c r="P14" s="446"/>
      <c r="Q14" s="446"/>
      <c r="R14" s="453">
        <f>LOOKUP(S1,DATOS!A:A,DATOS!AX:AX)</f>
        <v>1</v>
      </c>
      <c r="S14" s="453"/>
      <c r="T14" s="337"/>
    </row>
    <row r="15" spans="1:21" s="347" customFormat="1" ht="14.25" customHeight="1" x14ac:dyDescent="0.3">
      <c r="A15" s="32"/>
      <c r="B15" s="32"/>
      <c r="C15" s="326" t="s">
        <v>466</v>
      </c>
      <c r="D15" s="323">
        <f>LOOKUP(S1,DATOS!A:A,DATOS!AM:AM)</f>
        <v>63</v>
      </c>
      <c r="E15" s="327" t="s">
        <v>470</v>
      </c>
      <c r="F15" s="54"/>
      <c r="G15" s="55"/>
      <c r="H15" s="459" t="s">
        <v>474</v>
      </c>
      <c r="I15" s="459"/>
      <c r="J15" s="330">
        <f>LOOKUP(S1,DATOS!A:A,DATOS!AE:AE)</f>
        <v>0</v>
      </c>
      <c r="K15" s="460">
        <f>J15*J11/100</f>
        <v>0</v>
      </c>
      <c r="L15" s="460"/>
      <c r="M15" s="33"/>
      <c r="N15" s="33"/>
      <c r="O15" s="442" t="s">
        <v>483</v>
      </c>
      <c r="P15" s="442"/>
      <c r="Q15" s="442"/>
      <c r="R15" s="351" t="str">
        <f>LOOKUP(S1,DATOS!A:A,DATOS!AR:AR)</f>
        <v>-</v>
      </c>
      <c r="S15" s="350" t="s">
        <v>486</v>
      </c>
      <c r="T15" s="353" t="str">
        <f>LOOKUP(S1,DATOS!A:A,DATOS!AS:AS)</f>
        <v>-</v>
      </c>
      <c r="U15" s="350" t="s">
        <v>502</v>
      </c>
    </row>
    <row r="16" spans="1:21" s="348" customFormat="1" ht="13.5" customHeight="1" x14ac:dyDescent="0.3">
      <c r="A16" s="11"/>
      <c r="B16" s="11"/>
      <c r="C16" s="458"/>
      <c r="D16" s="458"/>
      <c r="E16" s="56"/>
      <c r="F16" s="7"/>
      <c r="G16" s="7"/>
      <c r="H16" s="444" t="s">
        <v>475</v>
      </c>
      <c r="I16" s="444"/>
      <c r="J16" s="329">
        <f>LOOKUP(S1,DATOS!A:A,DATOS!AA:AA)</f>
        <v>78</v>
      </c>
      <c r="K16" s="454">
        <f>J16*J11/100</f>
        <v>6575.4</v>
      </c>
      <c r="L16" s="454"/>
      <c r="M16" s="8"/>
      <c r="N16" s="8"/>
      <c r="O16" s="446" t="s">
        <v>484</v>
      </c>
      <c r="P16" s="446"/>
      <c r="Q16" s="446"/>
      <c r="R16" s="352" t="str">
        <f>LOOKUP(S1,DATOS!A:A,DATOS!AT:AT)</f>
        <v>-</v>
      </c>
      <c r="S16" s="349" t="s">
        <v>486</v>
      </c>
      <c r="T16" s="354" t="str">
        <f>LOOKUP(S1,DATOS!A:A,DATOS!AU:AU)</f>
        <v>-</v>
      </c>
      <c r="U16" s="349" t="s">
        <v>502</v>
      </c>
    </row>
    <row r="17" spans="1:20" ht="14.25" customHeight="1" x14ac:dyDescent="0.3">
      <c r="C17" s="168" t="s">
        <v>467</v>
      </c>
      <c r="D17" s="457">
        <f>LOOKUP(S1,DATOS!A:A,DATOS!AK:AK)</f>
        <v>0</v>
      </c>
      <c r="E17" s="457"/>
      <c r="F17" s="457"/>
      <c r="G17" s="52"/>
      <c r="H17" s="331"/>
      <c r="I17" s="332" t="s">
        <v>476</v>
      </c>
      <c r="J17" s="333">
        <f>LOOKUP(S1,DATOS!A:A,DATOS!AD:AD)</f>
        <v>2</v>
      </c>
      <c r="K17" s="454">
        <f>J17*J11/100</f>
        <v>168.6</v>
      </c>
      <c r="L17" s="454"/>
      <c r="M17" s="8"/>
      <c r="N17" s="8"/>
      <c r="O17" s="455"/>
      <c r="P17" s="455"/>
      <c r="Q17" s="455"/>
      <c r="R17" s="456"/>
      <c r="S17" s="456"/>
      <c r="T17" s="50"/>
    </row>
    <row r="18" spans="1:20" ht="15" customHeight="1" x14ac:dyDescent="0.3">
      <c r="C18" s="168" t="s">
        <v>154</v>
      </c>
      <c r="D18" s="324">
        <f>LOOKUP(S1,DATOS!A:A,DATOS!AN:AN)</f>
        <v>0</v>
      </c>
      <c r="E18" s="8"/>
      <c r="F18" s="58"/>
      <c r="H18" s="331"/>
      <c r="I18" s="332" t="s">
        <v>477</v>
      </c>
      <c r="J18" s="333">
        <f>LOOKUP(S1,DATOS!A:A,DATOS!AH:AH)</f>
        <v>0</v>
      </c>
      <c r="K18" s="454">
        <f>J18*J11/100</f>
        <v>0</v>
      </c>
      <c r="L18" s="454"/>
      <c r="M18" s="8"/>
      <c r="N18" s="8"/>
      <c r="O18" s="446" t="s">
        <v>455</v>
      </c>
      <c r="P18" s="446"/>
      <c r="Q18" s="446"/>
      <c r="R18" s="469">
        <f>LOOKUP(S1,DATOS!A:A,DATOS!BB:BB)</f>
        <v>0</v>
      </c>
      <c r="S18" s="469"/>
      <c r="T18" s="469"/>
    </row>
    <row r="19" spans="1:20" ht="12.75" customHeight="1" x14ac:dyDescent="0.3">
      <c r="C19" s="168" t="s">
        <v>155</v>
      </c>
      <c r="D19" s="325" t="str">
        <f>LOOKUP(S1,DATOS!A:A,DATOS!AQ:AQ)</f>
        <v/>
      </c>
      <c r="E19" s="8"/>
      <c r="F19" s="59"/>
      <c r="H19" s="444" t="s">
        <v>478</v>
      </c>
      <c r="I19" s="444"/>
      <c r="J19" s="333">
        <f>LOOKUP(S1,DATOS!A:A,DATOS!AB:AB)</f>
        <v>19</v>
      </c>
      <c r="K19" s="454">
        <f>J19*J11/100</f>
        <v>1601.7</v>
      </c>
      <c r="L19" s="454"/>
      <c r="M19" s="8"/>
      <c r="N19" s="8"/>
      <c r="O19" s="40"/>
      <c r="P19" s="40"/>
      <c r="Q19" s="40"/>
      <c r="R19" s="469"/>
      <c r="S19" s="469"/>
      <c r="T19" s="469"/>
    </row>
    <row r="20" spans="1:20" ht="14.25" customHeight="1" x14ac:dyDescent="0.3">
      <c r="E20" s="61"/>
      <c r="H20" s="444" t="s">
        <v>479</v>
      </c>
      <c r="I20" s="444"/>
      <c r="J20" s="333">
        <f>LOOKUP(S1,DATOS!A:A,DATOS!AC:AC)</f>
        <v>1</v>
      </c>
      <c r="K20" s="454">
        <f>J20*J11/100</f>
        <v>84.3</v>
      </c>
      <c r="L20" s="454"/>
      <c r="M20" s="8"/>
      <c r="N20" s="8"/>
      <c r="O20" s="40"/>
      <c r="P20" s="40"/>
      <c r="Q20" s="40"/>
      <c r="R20" s="469"/>
      <c r="S20" s="469"/>
      <c r="T20" s="469"/>
    </row>
    <row r="21" spans="1:20" ht="14.4" x14ac:dyDescent="0.3">
      <c r="E21" s="61"/>
      <c r="H21" s="464" t="s">
        <v>22</v>
      </c>
      <c r="I21" s="464"/>
      <c r="J21" s="334">
        <f>LOOKUP(S1,DATOS!A:A,DATOS!AI:AI)</f>
        <v>100</v>
      </c>
      <c r="K21" s="465">
        <f>SUM(K13:K20)</f>
        <v>8430</v>
      </c>
      <c r="L21" s="465"/>
      <c r="M21" s="8"/>
      <c r="N21" s="8"/>
      <c r="P21" s="339"/>
      <c r="Q21" s="339"/>
      <c r="R21" s="469"/>
      <c r="S21" s="469"/>
      <c r="T21" s="469"/>
    </row>
    <row r="22" spans="1:20" ht="9" customHeight="1" x14ac:dyDescent="0.3">
      <c r="E22" s="61"/>
      <c r="I22" s="15"/>
      <c r="J22" s="50"/>
      <c r="K22" s="39"/>
      <c r="R22" s="469"/>
      <c r="S22" s="469"/>
      <c r="T22" s="469"/>
    </row>
    <row r="23" spans="1:20" ht="13.5" customHeight="1" x14ac:dyDescent="0.3">
      <c r="C23" s="338" t="s">
        <v>487</v>
      </c>
      <c r="D23" s="467">
        <f>LOOKUP(S1,DATOS!A:A,DATOS!AY:AY)</f>
        <v>0</v>
      </c>
      <c r="E23" s="467"/>
      <c r="F23" s="467"/>
      <c r="G23" s="467"/>
      <c r="H23" s="467"/>
      <c r="I23" s="467"/>
      <c r="J23" s="467"/>
      <c r="K23" s="467"/>
      <c r="L23" s="467"/>
      <c r="M23" s="467"/>
      <c r="N23" s="467"/>
      <c r="O23" s="467"/>
      <c r="P23" s="467"/>
      <c r="Q23" s="467"/>
      <c r="R23" s="467"/>
      <c r="S23" s="467"/>
    </row>
    <row r="24" spans="1:20" ht="14.4" x14ac:dyDescent="0.3">
      <c r="C24" s="338" t="s">
        <v>488</v>
      </c>
      <c r="D24" s="468">
        <f>LOOKUP(S1,DATOS!A:A,DATOS!AZ:AZ)</f>
        <v>0</v>
      </c>
      <c r="E24" s="468"/>
      <c r="F24" s="468"/>
      <c r="G24" s="468"/>
      <c r="H24" s="468"/>
      <c r="I24" s="468"/>
      <c r="J24" s="468"/>
      <c r="K24" s="468"/>
      <c r="L24" s="468"/>
      <c r="M24" s="468"/>
      <c r="N24" s="468"/>
      <c r="O24" s="468"/>
      <c r="P24" s="468"/>
      <c r="Q24" s="468"/>
      <c r="R24" s="468"/>
      <c r="S24" s="468"/>
    </row>
    <row r="25" spans="1:20" ht="12.75" customHeight="1" x14ac:dyDescent="0.3">
      <c r="C25" s="338" t="s">
        <v>489</v>
      </c>
      <c r="D25" s="468">
        <f>LOOKUP(S1,DATOS!A:A,DATOS!BA:BA)</f>
        <v>0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</row>
    <row r="26" spans="1:20" ht="9.75" customHeight="1" x14ac:dyDescent="0.3">
      <c r="K26" s="39"/>
    </row>
    <row r="27" spans="1:20" ht="14.4" x14ac:dyDescent="0.3">
      <c r="C27" s="62" t="s">
        <v>261</v>
      </c>
      <c r="D27" s="9"/>
      <c r="E27" s="46"/>
      <c r="F27" s="466" t="s">
        <v>385</v>
      </c>
      <c r="G27" s="466"/>
      <c r="H27" s="466"/>
      <c r="I27" s="43"/>
      <c r="J27" s="462">
        <f>LOOKUP(S1,DATOS!A:A,DATOS!P:P)</f>
        <v>46156</v>
      </c>
      <c r="K27" s="462"/>
      <c r="L27" s="462"/>
      <c r="M27" s="462"/>
      <c r="N27" s="462"/>
      <c r="O27" s="462"/>
      <c r="P27" s="462"/>
      <c r="Q27" s="462"/>
      <c r="R27" s="9" t="s">
        <v>110</v>
      </c>
      <c r="S27" s="463">
        <f ca="1">NOW()</f>
        <v>46197.396101620368</v>
      </c>
      <c r="T27" s="463"/>
    </row>
    <row r="28" spans="1:20" s="12" customFormat="1" ht="14.4" hidden="1" x14ac:dyDescent="0.3">
      <c r="A28" s="11"/>
      <c r="B28" s="11"/>
      <c r="C28" s="7"/>
      <c r="D28" s="7"/>
      <c r="E28" s="7"/>
      <c r="F28" s="7"/>
      <c r="G28" s="7"/>
      <c r="H28" s="7"/>
      <c r="I28" s="7"/>
      <c r="J28" s="7"/>
      <c r="K28" s="13"/>
      <c r="L28" s="7"/>
      <c r="M28" s="7"/>
      <c r="N28" s="7"/>
      <c r="O28" s="7"/>
      <c r="P28" s="7"/>
      <c r="Q28" s="7"/>
      <c r="R28" s="7"/>
      <c r="S28" s="7"/>
      <c r="T28" s="7"/>
    </row>
    <row r="29" spans="1:20" s="12" customFormat="1" ht="14.4" hidden="1" x14ac:dyDescent="0.3">
      <c r="A29" s="11"/>
      <c r="B29" s="11"/>
      <c r="C29" s="7"/>
      <c r="D29" s="7"/>
      <c r="E29" s="7"/>
      <c r="F29" s="7"/>
      <c r="G29" s="7"/>
      <c r="H29" s="7"/>
      <c r="I29" s="7"/>
      <c r="J29" s="7"/>
      <c r="K29" s="13"/>
      <c r="L29" s="7"/>
      <c r="M29" s="7"/>
      <c r="N29" s="7"/>
      <c r="O29" s="7"/>
      <c r="P29" s="7"/>
      <c r="Q29" s="7"/>
      <c r="R29" s="7"/>
      <c r="S29" s="7"/>
      <c r="T29" s="7"/>
    </row>
    <row r="30" spans="1:20" s="12" customFormat="1" ht="14.4" hidden="1" x14ac:dyDescent="0.3">
      <c r="A30" s="11"/>
      <c r="B30" s="11"/>
      <c r="C30" s="7"/>
      <c r="D30" s="7"/>
      <c r="E30" s="7"/>
      <c r="F30" s="7"/>
      <c r="G30" s="7"/>
      <c r="H30" s="7"/>
      <c r="I30" s="7"/>
      <c r="J30" s="7"/>
      <c r="K30" s="13"/>
      <c r="L30" s="7"/>
      <c r="M30" s="7"/>
      <c r="N30" s="7"/>
      <c r="O30" s="7"/>
      <c r="P30" s="7"/>
      <c r="Q30" s="7"/>
      <c r="R30" s="7"/>
      <c r="S30" s="7"/>
      <c r="T30" s="7"/>
    </row>
    <row r="31" spans="1:20" s="12" customFormat="1" ht="14.4" hidden="1" x14ac:dyDescent="0.3">
      <c r="A31" s="11"/>
      <c r="B31" s="11"/>
      <c r="C31" s="7"/>
      <c r="D31" s="7"/>
      <c r="E31" s="7"/>
      <c r="F31" s="7"/>
      <c r="G31" s="7"/>
      <c r="H31" s="7"/>
      <c r="I31" s="7"/>
      <c r="J31" s="7"/>
      <c r="K31" s="13"/>
      <c r="L31" s="7"/>
      <c r="M31" s="7"/>
      <c r="N31" s="7"/>
      <c r="O31" s="7"/>
      <c r="P31" s="7"/>
      <c r="Q31" s="7"/>
      <c r="R31" s="7"/>
      <c r="S31" s="7"/>
      <c r="T31" s="7"/>
    </row>
    <row r="32" spans="1:20" s="12" customFormat="1" ht="14.4" hidden="1" x14ac:dyDescent="0.3">
      <c r="A32" s="11"/>
      <c r="B32" s="11"/>
      <c r="C32" s="7"/>
      <c r="D32" s="7"/>
      <c r="E32" s="7"/>
      <c r="F32" s="7"/>
      <c r="G32" s="7"/>
      <c r="H32" s="7"/>
      <c r="I32" s="7"/>
      <c r="J32" s="7"/>
      <c r="K32" s="13"/>
      <c r="L32" s="7"/>
      <c r="M32" s="7"/>
      <c r="N32" s="7"/>
      <c r="O32" s="7"/>
      <c r="P32" s="7"/>
      <c r="Q32" s="7"/>
      <c r="R32" s="7"/>
      <c r="S32" s="7"/>
      <c r="T32" s="7"/>
    </row>
    <row r="33" spans="1:20" s="12" customFormat="1" ht="14.4" hidden="1" x14ac:dyDescent="0.3">
      <c r="A33" s="11"/>
      <c r="B33" s="11"/>
      <c r="C33" s="7"/>
      <c r="D33" s="7"/>
      <c r="E33" s="7"/>
      <c r="F33" s="7"/>
      <c r="G33" s="7"/>
      <c r="H33" s="7"/>
      <c r="I33" s="7"/>
      <c r="J33" s="7"/>
      <c r="K33" s="13"/>
      <c r="L33" s="7"/>
      <c r="M33" s="7"/>
      <c r="N33" s="7"/>
      <c r="O33" s="7"/>
      <c r="P33" s="7"/>
      <c r="Q33" s="7"/>
      <c r="R33" s="7"/>
      <c r="S33" s="7"/>
      <c r="T33" s="7"/>
    </row>
    <row r="34" spans="1:20" s="12" customFormat="1" ht="14.4" hidden="1" x14ac:dyDescent="0.3">
      <c r="A34" s="11"/>
      <c r="B34" s="11"/>
      <c r="C34" s="7"/>
      <c r="D34" s="7"/>
      <c r="E34" s="7"/>
      <c r="F34" s="7"/>
      <c r="G34" s="7"/>
      <c r="H34" s="7"/>
      <c r="I34" s="7"/>
      <c r="J34" s="7"/>
      <c r="K34" s="13"/>
      <c r="L34" s="7"/>
      <c r="M34" s="7"/>
      <c r="N34" s="7"/>
      <c r="O34" s="7"/>
      <c r="P34" s="7"/>
      <c r="Q34" s="7"/>
      <c r="R34" s="7"/>
      <c r="S34" s="7"/>
      <c r="T34" s="7"/>
    </row>
    <row r="35" spans="1:20" s="12" customFormat="1" ht="14.4" hidden="1" x14ac:dyDescent="0.3">
      <c r="A35" s="11"/>
      <c r="B35" s="11"/>
      <c r="C35" s="7"/>
      <c r="D35" s="7"/>
      <c r="E35" s="7"/>
      <c r="F35" s="7"/>
      <c r="G35" s="7"/>
      <c r="H35" s="7"/>
      <c r="I35" s="7"/>
      <c r="J35" s="7"/>
      <c r="K35" s="13"/>
      <c r="L35" s="7"/>
      <c r="M35" s="7"/>
      <c r="N35" s="7"/>
      <c r="O35" s="7"/>
      <c r="P35" s="7"/>
      <c r="Q35" s="7"/>
      <c r="R35" s="7"/>
      <c r="S35" s="7"/>
      <c r="T35" s="7"/>
    </row>
    <row r="36" spans="1:20" s="12" customFormat="1" ht="14.4" hidden="1" x14ac:dyDescent="0.3">
      <c r="A36" s="11"/>
      <c r="B36" s="11"/>
      <c r="C36" s="7"/>
      <c r="D36" s="7"/>
      <c r="E36" s="7"/>
      <c r="F36" s="7"/>
      <c r="G36" s="7"/>
      <c r="H36" s="7"/>
      <c r="I36" s="7"/>
      <c r="J36" s="7"/>
      <c r="K36" s="13"/>
      <c r="L36" s="7"/>
      <c r="M36" s="7"/>
      <c r="N36" s="7"/>
      <c r="O36" s="7"/>
      <c r="P36" s="7"/>
      <c r="Q36" s="7"/>
      <c r="R36" s="7"/>
      <c r="S36" s="7"/>
      <c r="T36" s="7"/>
    </row>
    <row r="37" spans="1:20" s="12" customFormat="1" ht="14.4" hidden="1" x14ac:dyDescent="0.3">
      <c r="A37" s="11"/>
      <c r="B37" s="11"/>
      <c r="C37" s="7"/>
      <c r="D37" s="7"/>
      <c r="E37" s="7"/>
      <c r="F37" s="7"/>
      <c r="G37" s="7"/>
      <c r="H37" s="7"/>
      <c r="I37" s="7"/>
      <c r="J37" s="7"/>
      <c r="K37" s="13"/>
      <c r="L37" s="7"/>
      <c r="M37" s="7"/>
      <c r="N37" s="7"/>
      <c r="O37" s="7"/>
      <c r="P37" s="7"/>
      <c r="Q37" s="7"/>
      <c r="R37" s="7"/>
      <c r="S37" s="7"/>
      <c r="T37" s="7"/>
    </row>
    <row r="38" spans="1:20" ht="14.4" hidden="1" x14ac:dyDescent="0.3">
      <c r="C38" s="16"/>
      <c r="D38" s="16"/>
      <c r="E38" s="16"/>
      <c r="F38" s="16"/>
      <c r="G38" s="16"/>
      <c r="H38" s="16"/>
      <c r="I38" s="16"/>
      <c r="J38" s="16"/>
      <c r="K38" s="17"/>
      <c r="L38" s="16"/>
      <c r="M38" s="16"/>
      <c r="N38" s="16"/>
      <c r="O38" s="16"/>
      <c r="P38" s="16"/>
      <c r="Q38" s="16"/>
      <c r="R38" s="16"/>
      <c r="S38" s="16"/>
      <c r="T38" s="16"/>
    </row>
    <row r="39" spans="1:20" ht="14.4" hidden="1" x14ac:dyDescent="0.3"/>
    <row r="40" spans="1:20" ht="14.4" hidden="1" x14ac:dyDescent="0.3"/>
    <row r="41" spans="1:20" ht="14.4" hidden="1" x14ac:dyDescent="0.3"/>
  </sheetData>
  <sheetProtection sheet="1" objects="1" scenarios="1" selectLockedCells="1"/>
  <mergeCells count="59">
    <mergeCell ref="J27:Q27"/>
    <mergeCell ref="S27:T27"/>
    <mergeCell ref="K18:L18"/>
    <mergeCell ref="O18:Q18"/>
    <mergeCell ref="H19:I19"/>
    <mergeCell ref="K19:L19"/>
    <mergeCell ref="H20:I20"/>
    <mergeCell ref="K20:L20"/>
    <mergeCell ref="H21:I21"/>
    <mergeCell ref="K21:L21"/>
    <mergeCell ref="F27:H27"/>
    <mergeCell ref="D23:S23"/>
    <mergeCell ref="D24:S24"/>
    <mergeCell ref="D25:S25"/>
    <mergeCell ref="R18:T22"/>
    <mergeCell ref="R14:S14"/>
    <mergeCell ref="K17:L17"/>
    <mergeCell ref="O17:Q17"/>
    <mergeCell ref="R17:S17"/>
    <mergeCell ref="D17:F17"/>
    <mergeCell ref="C16:D16"/>
    <mergeCell ref="H16:I16"/>
    <mergeCell ref="K16:L16"/>
    <mergeCell ref="O16:Q16"/>
    <mergeCell ref="H15:I15"/>
    <mergeCell ref="K15:L15"/>
    <mergeCell ref="O15:Q15"/>
    <mergeCell ref="H14:I14"/>
    <mergeCell ref="K14:L14"/>
    <mergeCell ref="O14:Q14"/>
    <mergeCell ref="O11:Q11"/>
    <mergeCell ref="R11:S11"/>
    <mergeCell ref="H13:I13"/>
    <mergeCell ref="K13:L13"/>
    <mergeCell ref="O13:Q13"/>
    <mergeCell ref="R13:S13"/>
    <mergeCell ref="H12:I12"/>
    <mergeCell ref="K12:L12"/>
    <mergeCell ref="O12:Q12"/>
    <mergeCell ref="R12:S12"/>
    <mergeCell ref="K11:L11"/>
    <mergeCell ref="S1:T1"/>
    <mergeCell ref="P4:Q4"/>
    <mergeCell ref="H5:J5"/>
    <mergeCell ref="K5:T5"/>
    <mergeCell ref="J2:J4"/>
    <mergeCell ref="Q2:T2"/>
    <mergeCell ref="L4:O4"/>
    <mergeCell ref="L2:P2"/>
    <mergeCell ref="C9:F9"/>
    <mergeCell ref="G9:I9"/>
    <mergeCell ref="L9:Q9"/>
    <mergeCell ref="K8:T8"/>
    <mergeCell ref="H8:J8"/>
    <mergeCell ref="C5:E5"/>
    <mergeCell ref="C8:E8"/>
    <mergeCell ref="C6:F6"/>
    <mergeCell ref="H6:K6"/>
    <mergeCell ref="L6:Q6"/>
  </mergeCells>
  <pageMargins left="0.39370078740157483" right="0.11811023622047245" top="0.39370078740157483" bottom="0.98425196850393704" header="0.15748031496062992" footer="0"/>
  <pageSetup paperSize="9" orientation="portrait" blackAndWhite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FF66"/>
  </sheetPr>
  <dimension ref="A1:S32"/>
  <sheetViews>
    <sheetView showGridLines="0" zoomScaleNormal="100" workbookViewId="0">
      <selection activeCell="Q1" sqref="Q1:R1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6.44140625" style="8" customWidth="1"/>
    <col min="7" max="7" width="7.33203125" style="8" customWidth="1"/>
    <col min="8" max="8" width="7.6640625" style="8" customWidth="1"/>
    <col min="9" max="9" width="4.109375" style="8" customWidth="1"/>
    <col min="10" max="10" width="4.44140625" style="8" customWidth="1"/>
    <col min="11" max="11" width="7.33203125" style="8" customWidth="1"/>
    <col min="12" max="13" width="4.44140625" style="8" customWidth="1"/>
    <col min="14" max="14" width="6.44140625" style="8" customWidth="1"/>
    <col min="15" max="15" width="5.88671875" style="8" customWidth="1"/>
    <col min="16" max="16" width="7.6640625" style="8" customWidth="1"/>
    <col min="17" max="17" width="7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9" ht="51.75" customHeight="1" x14ac:dyDescent="0.85">
      <c r="A1" s="11"/>
      <c r="Q1" s="484">
        <v>1</v>
      </c>
      <c r="R1" s="484"/>
    </row>
    <row r="2" spans="1:19" ht="15" customHeight="1" x14ac:dyDescent="0.3">
      <c r="A2" s="11"/>
      <c r="B2" s="7"/>
      <c r="C2" s="7"/>
      <c r="D2" s="7"/>
      <c r="E2" s="7"/>
      <c r="F2" s="7"/>
      <c r="G2" s="7"/>
      <c r="H2" s="7"/>
      <c r="I2" s="7"/>
      <c r="K2" s="7"/>
      <c r="L2" s="7"/>
      <c r="M2" s="441" t="s">
        <v>375</v>
      </c>
      <c r="N2" s="441"/>
      <c r="O2" s="441"/>
      <c r="P2" s="485" t="str">
        <f>LOOKUP(Q1,DATOS!A:A,DATOS!J:J)</f>
        <v>530421 SSA</v>
      </c>
      <c r="Q2" s="485"/>
      <c r="R2" s="485"/>
    </row>
    <row r="3" spans="1:19" ht="19.5" customHeight="1" x14ac:dyDescent="0.3">
      <c r="A3" s="11"/>
      <c r="B3" s="7"/>
      <c r="C3" s="7"/>
      <c r="D3" s="7"/>
      <c r="E3" s="7"/>
      <c r="F3" s="7"/>
      <c r="G3" s="7"/>
      <c r="H3" s="7"/>
      <c r="I3" s="7"/>
      <c r="J3" s="486">
        <f>LOOKUP(Q1,DATOS!A:A,DATOS!B:B)</f>
        <v>1</v>
      </c>
      <c r="K3" s="486"/>
      <c r="L3" s="7"/>
      <c r="M3" s="9"/>
      <c r="N3" s="440" t="s">
        <v>386</v>
      </c>
      <c r="O3" s="440"/>
      <c r="P3" s="271" t="str">
        <f>LOOKUP(Q1,DATOS!A:A,DATOS!K:K)</f>
        <v>ID</v>
      </c>
      <c r="Q3" s="356" t="s">
        <v>376</v>
      </c>
      <c r="R3" s="271">
        <f>LOOKUP(Q1,DATOS!A:A,DATOS!H:H)</f>
        <v>72</v>
      </c>
    </row>
    <row r="4" spans="1:19" ht="10.5" customHeight="1" x14ac:dyDescent="0.3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28"/>
    </row>
    <row r="5" spans="1:19" ht="30.75" customHeight="1" x14ac:dyDescent="0.3">
      <c r="A5" s="11"/>
      <c r="B5" s="7"/>
      <c r="C5" s="436" t="str">
        <f>LOOKUP(Q1,DATOS!A:A,DATOS!N:N)</f>
        <v>DR. ZAMBRANA</v>
      </c>
      <c r="D5" s="436"/>
      <c r="E5" s="436"/>
      <c r="F5" s="436"/>
      <c r="G5" s="7"/>
      <c r="H5" s="436" t="s">
        <v>156</v>
      </c>
      <c r="I5" s="436"/>
      <c r="J5" s="436"/>
      <c r="K5" s="436"/>
      <c r="L5" s="483" t="str">
        <f>LOOKUP(Q1,DATOS!A:A,DATOS!G:G)</f>
        <v>SIRPA SIRPA ANCELMO</v>
      </c>
      <c r="M5" s="483"/>
      <c r="N5" s="483"/>
      <c r="O5" s="483"/>
      <c r="P5" s="483"/>
      <c r="Q5" s="483"/>
      <c r="R5" s="483"/>
    </row>
    <row r="6" spans="1:19" s="266" customFormat="1" ht="12" customHeight="1" x14ac:dyDescent="0.3">
      <c r="A6" s="262"/>
      <c r="B6" s="263"/>
      <c r="C6" s="429" t="s">
        <v>380</v>
      </c>
      <c r="D6" s="429"/>
      <c r="E6" s="429"/>
      <c r="F6" s="429"/>
      <c r="G6" s="264"/>
      <c r="H6" s="429" t="s">
        <v>379</v>
      </c>
      <c r="I6" s="429"/>
      <c r="J6" s="429"/>
      <c r="K6" s="267"/>
      <c r="L6" s="430" t="s">
        <v>517</v>
      </c>
      <c r="M6" s="430"/>
      <c r="N6" s="430"/>
      <c r="O6" s="430"/>
      <c r="P6" s="430"/>
      <c r="Q6" s="430"/>
      <c r="R6" s="265"/>
    </row>
    <row r="7" spans="1:19" ht="7.5" customHeight="1" x14ac:dyDescent="0.3">
      <c r="A7" s="1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R7" s="7"/>
    </row>
    <row r="8" spans="1:19" ht="24.75" customHeight="1" x14ac:dyDescent="0.3">
      <c r="A8" s="11"/>
      <c r="B8" s="7"/>
      <c r="C8" s="436" t="str">
        <f>LOOKUP(Q1,DATOS!A:A,DATOS!L:L)</f>
        <v>PAISE EL ALTO</v>
      </c>
      <c r="D8" s="436"/>
      <c r="E8" s="436"/>
      <c r="F8" s="31"/>
      <c r="G8" s="479" t="str">
        <f>LOOKUP(Q1,DATOS!A:A,DATOS!M:M)</f>
        <v>CARDIOLOGIA</v>
      </c>
      <c r="H8" s="479"/>
      <c r="I8" s="479"/>
      <c r="J8" s="19"/>
      <c r="K8" s="7"/>
      <c r="L8" s="480">
        <f>LOOKUP(Q1,DATOS!A:A,DATOS!O:O)</f>
        <v>46108</v>
      </c>
      <c r="M8" s="480"/>
      <c r="N8" s="480"/>
      <c r="O8" s="480"/>
      <c r="P8" s="480"/>
      <c r="Q8" s="480"/>
      <c r="R8" s="38"/>
    </row>
    <row r="9" spans="1:19" s="266" customFormat="1" ht="12" customHeight="1" x14ac:dyDescent="0.3">
      <c r="A9" s="262"/>
      <c r="C9" s="431" t="s">
        <v>381</v>
      </c>
      <c r="D9" s="431"/>
      <c r="E9" s="431"/>
      <c r="F9" s="431"/>
      <c r="G9" s="431" t="s">
        <v>382</v>
      </c>
      <c r="H9" s="431"/>
      <c r="I9" s="431"/>
      <c r="J9" s="267"/>
      <c r="K9" s="267"/>
      <c r="L9" s="431" t="s">
        <v>383</v>
      </c>
      <c r="M9" s="431"/>
      <c r="N9" s="431"/>
      <c r="O9" s="431"/>
      <c r="P9" s="431"/>
      <c r="Q9" s="431"/>
      <c r="R9" s="267"/>
    </row>
    <row r="10" spans="1:19" ht="15" customHeight="1" x14ac:dyDescent="0.3">
      <c r="A10" s="11"/>
      <c r="B10" s="7"/>
      <c r="C10" s="7"/>
      <c r="D10" s="7"/>
      <c r="E10" s="7"/>
      <c r="F10" s="7"/>
      <c r="G10" s="7"/>
      <c r="H10" s="481"/>
      <c r="I10" s="481"/>
      <c r="J10" s="481"/>
      <c r="K10" s="481"/>
      <c r="L10" s="481"/>
      <c r="M10" s="7"/>
      <c r="N10" s="7"/>
      <c r="O10" s="7"/>
      <c r="P10" s="7"/>
      <c r="Q10" s="7"/>
      <c r="R10" s="7"/>
    </row>
    <row r="11" spans="1:19" ht="15.75" customHeight="1" x14ac:dyDescent="0.35">
      <c r="A11" s="11"/>
      <c r="C11" s="7"/>
      <c r="D11" s="49"/>
      <c r="E11" s="73"/>
      <c r="F11" s="73"/>
      <c r="G11" s="482" t="s">
        <v>249</v>
      </c>
      <c r="H11" s="482"/>
      <c r="I11" s="482"/>
      <c r="J11" s="482"/>
      <c r="K11" s="482"/>
      <c r="L11" s="482"/>
      <c r="M11" s="482"/>
      <c r="N11" s="482"/>
      <c r="O11" s="74"/>
      <c r="P11" s="74"/>
      <c r="Q11" s="15"/>
      <c r="R11" s="15"/>
      <c r="S11" s="7"/>
    </row>
    <row r="12" spans="1:19" ht="15" customHeight="1" x14ac:dyDescent="0.3">
      <c r="A12" s="11"/>
      <c r="C12" s="7"/>
      <c r="D12" s="49"/>
      <c r="E12" s="73"/>
      <c r="F12" s="73"/>
      <c r="G12" s="7"/>
      <c r="H12" s="7"/>
      <c r="I12" s="7"/>
      <c r="J12" s="7"/>
      <c r="K12" s="7"/>
      <c r="L12" s="7"/>
      <c r="M12" s="67"/>
      <c r="N12" s="74"/>
      <c r="O12" s="74"/>
      <c r="P12" s="74"/>
      <c r="Q12" s="15"/>
      <c r="S12" s="7"/>
    </row>
    <row r="13" spans="1:19" ht="15" customHeight="1" x14ac:dyDescent="0.3">
      <c r="A13" s="11"/>
      <c r="C13" s="7"/>
      <c r="D13" s="49"/>
      <c r="E13" s="73"/>
      <c r="F13" s="75"/>
      <c r="G13" s="69"/>
      <c r="I13" s="437"/>
      <c r="J13" s="437"/>
      <c r="K13" s="437"/>
      <c r="L13" s="437"/>
      <c r="M13" s="437"/>
      <c r="N13" s="437"/>
      <c r="O13" s="74"/>
      <c r="P13" s="74"/>
      <c r="Q13" s="68"/>
      <c r="S13" s="7"/>
    </row>
    <row r="14" spans="1:19" ht="16.5" customHeight="1" x14ac:dyDescent="0.35">
      <c r="A14" s="11"/>
      <c r="C14" s="7"/>
      <c r="D14" s="49"/>
      <c r="E14" s="73"/>
      <c r="F14" s="476" t="s">
        <v>537</v>
      </c>
      <c r="G14" s="476"/>
      <c r="H14" s="476"/>
      <c r="I14" s="476"/>
      <c r="J14" s="476"/>
      <c r="K14" s="473">
        <f>LOOKUP(Q1,DATOS!A:A,DATOS!AK:AK)</f>
        <v>0</v>
      </c>
      <c r="L14" s="473"/>
      <c r="M14" s="473"/>
      <c r="N14" s="473"/>
      <c r="O14" s="473"/>
      <c r="P14" s="74"/>
      <c r="Q14" s="68"/>
      <c r="S14" s="7"/>
    </row>
    <row r="15" spans="1:19" ht="15" customHeight="1" x14ac:dyDescent="0.35">
      <c r="A15" s="11"/>
      <c r="B15" s="7"/>
      <c r="C15" s="69"/>
      <c r="D15" s="76"/>
      <c r="E15" s="76"/>
      <c r="F15" s="278"/>
      <c r="G15" s="79"/>
      <c r="H15" s="477"/>
      <c r="I15" s="477"/>
      <c r="J15" s="477"/>
      <c r="K15" s="475"/>
      <c r="L15" s="475"/>
      <c r="M15" s="69"/>
      <c r="N15" s="91"/>
      <c r="O15" s="74"/>
      <c r="P15" s="74"/>
      <c r="Q15" s="15"/>
      <c r="R15" s="70"/>
      <c r="S15" s="20"/>
    </row>
    <row r="16" spans="1:19" ht="15.75" customHeight="1" x14ac:dyDescent="0.35">
      <c r="A16" s="11"/>
      <c r="B16" s="7"/>
      <c r="C16" s="71"/>
      <c r="D16" s="49"/>
      <c r="E16" s="59"/>
      <c r="F16" s="279"/>
      <c r="G16" s="79"/>
      <c r="H16" s="477"/>
      <c r="I16" s="477"/>
      <c r="J16" s="477"/>
      <c r="K16" s="478"/>
      <c r="L16" s="478"/>
      <c r="M16" s="69"/>
      <c r="N16" s="91"/>
      <c r="O16" s="91"/>
      <c r="P16" s="91"/>
      <c r="Q16" s="7"/>
      <c r="R16" s="15"/>
      <c r="S16" s="7"/>
    </row>
    <row r="17" spans="1:19" s="79" customFormat="1" ht="18.75" customHeight="1" x14ac:dyDescent="0.35">
      <c r="A17" s="344"/>
      <c r="B17" s="15"/>
      <c r="C17" s="15"/>
      <c r="D17" s="49"/>
      <c r="E17" s="90"/>
      <c r="F17" s="474"/>
      <c r="G17" s="474"/>
      <c r="H17" s="474"/>
      <c r="I17" s="474"/>
      <c r="J17" s="474"/>
      <c r="K17" s="475"/>
      <c r="L17" s="475"/>
      <c r="M17" s="278"/>
      <c r="N17" s="475"/>
      <c r="O17" s="475"/>
      <c r="Q17" s="15"/>
      <c r="S17" s="15"/>
    </row>
    <row r="18" spans="1:19" s="79" customFormat="1" ht="18.75" customHeight="1" x14ac:dyDescent="0.35">
      <c r="A18" s="344"/>
      <c r="B18" s="15"/>
      <c r="C18" s="15"/>
      <c r="D18" s="49"/>
      <c r="E18" s="90"/>
      <c r="F18" s="474"/>
      <c r="G18" s="474"/>
      <c r="H18" s="474"/>
      <c r="I18" s="474"/>
      <c r="J18" s="474"/>
      <c r="K18" s="475"/>
      <c r="L18" s="475"/>
      <c r="M18" s="15"/>
      <c r="N18" s="475"/>
      <c r="O18" s="475"/>
      <c r="P18" s="168"/>
      <c r="Q18" s="15"/>
      <c r="R18" s="15"/>
    </row>
    <row r="19" spans="1:19" ht="16.5" customHeight="1" x14ac:dyDescent="0.3">
      <c r="A19" s="11"/>
      <c r="B19" s="7"/>
      <c r="C19" s="7"/>
      <c r="D19" s="49"/>
      <c r="E19" s="59"/>
      <c r="F19" s="59"/>
      <c r="G19" s="59"/>
      <c r="H19" s="65"/>
      <c r="I19" s="65"/>
      <c r="J19" s="65"/>
      <c r="K19" s="7"/>
      <c r="L19" s="7"/>
      <c r="M19" s="60"/>
      <c r="N19" s="57"/>
      <c r="O19" s="7"/>
      <c r="P19" s="7"/>
      <c r="Q19" s="7"/>
      <c r="R19" s="7"/>
    </row>
    <row r="20" spans="1:19" ht="5.25" customHeight="1" x14ac:dyDescent="0.3">
      <c r="A20" s="11"/>
      <c r="B20" s="7"/>
      <c r="C20" s="7"/>
      <c r="D20" s="53"/>
      <c r="E20" s="7"/>
      <c r="F20" s="7"/>
      <c r="G20" s="7"/>
      <c r="H20" s="15"/>
      <c r="I20" s="57"/>
      <c r="J20" s="7"/>
      <c r="K20" s="7"/>
      <c r="L20" s="7"/>
      <c r="M20" s="7"/>
      <c r="N20" s="57"/>
      <c r="O20" s="7"/>
      <c r="P20" s="7"/>
      <c r="Q20" s="7"/>
      <c r="R20" s="7"/>
    </row>
    <row r="21" spans="1:19" ht="14.4" x14ac:dyDescent="0.3">
      <c r="A21" s="11"/>
      <c r="B21" s="470" t="s">
        <v>261</v>
      </c>
      <c r="C21" s="470"/>
      <c r="D21" s="470"/>
      <c r="E21" s="470"/>
      <c r="F21" s="470"/>
      <c r="G21" s="441" t="s">
        <v>385</v>
      </c>
      <c r="H21" s="441"/>
      <c r="I21" s="471">
        <f>LOOKUP(Q1,DATOS!A:A,DATOS!P:P)</f>
        <v>46156</v>
      </c>
      <c r="J21" s="471"/>
      <c r="K21" s="471"/>
      <c r="L21" s="471"/>
      <c r="M21" s="471"/>
      <c r="N21" s="471"/>
      <c r="O21" s="471"/>
      <c r="P21" s="9" t="s">
        <v>169</v>
      </c>
      <c r="Q21" s="472">
        <f ca="1">NOW()</f>
        <v>46197.396101620368</v>
      </c>
      <c r="R21" s="472"/>
    </row>
    <row r="30" spans="1:19" ht="12.75" customHeight="1" x14ac:dyDescent="0.3"/>
    <row r="31" spans="1:19" ht="12.75" customHeight="1" x14ac:dyDescent="0.3"/>
    <row r="32" spans="1:19" ht="12.75" customHeight="1" x14ac:dyDescent="0.3"/>
  </sheetData>
  <sheetProtection sheet="1" objects="1" scenarios="1" selectLockedCells="1"/>
  <mergeCells count="37">
    <mergeCell ref="C5:F5"/>
    <mergeCell ref="H5:K5"/>
    <mergeCell ref="L5:R5"/>
    <mergeCell ref="Q1:R1"/>
    <mergeCell ref="M2:O2"/>
    <mergeCell ref="P2:R2"/>
    <mergeCell ref="J3:K3"/>
    <mergeCell ref="N3:O3"/>
    <mergeCell ref="I13:J13"/>
    <mergeCell ref="K13:N13"/>
    <mergeCell ref="C6:F6"/>
    <mergeCell ref="H6:J6"/>
    <mergeCell ref="L6:Q6"/>
    <mergeCell ref="C8:E8"/>
    <mergeCell ref="G8:I8"/>
    <mergeCell ref="L8:Q8"/>
    <mergeCell ref="C9:F9"/>
    <mergeCell ref="G9:I9"/>
    <mergeCell ref="L9:Q9"/>
    <mergeCell ref="H10:L10"/>
    <mergeCell ref="G11:N11"/>
    <mergeCell ref="B21:F21"/>
    <mergeCell ref="G21:H21"/>
    <mergeCell ref="I21:O21"/>
    <mergeCell ref="Q21:R21"/>
    <mergeCell ref="K14:O14"/>
    <mergeCell ref="F17:J17"/>
    <mergeCell ref="K17:L17"/>
    <mergeCell ref="N17:O17"/>
    <mergeCell ref="F18:J18"/>
    <mergeCell ref="K18:L18"/>
    <mergeCell ref="N18:O18"/>
    <mergeCell ref="F14:J14"/>
    <mergeCell ref="H15:J15"/>
    <mergeCell ref="K15:L15"/>
    <mergeCell ref="H16:J16"/>
    <mergeCell ref="K16:L16"/>
  </mergeCells>
  <pageMargins left="0.27559055118110237" right="0.39370078740157483" top="0.43307086614173229" bottom="0.98425196850393704" header="0" footer="0"/>
  <pageSetup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66"/>
  </sheetPr>
  <dimension ref="A1:S32"/>
  <sheetViews>
    <sheetView showGridLines="0" zoomScaleNormal="100" workbookViewId="0">
      <selection activeCell="Q1" sqref="Q1:R1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6.44140625" style="8" customWidth="1"/>
    <col min="7" max="7" width="7.33203125" style="8" customWidth="1"/>
    <col min="8" max="8" width="7.6640625" style="8" customWidth="1"/>
    <col min="9" max="9" width="4.109375" style="8" customWidth="1"/>
    <col min="10" max="10" width="4.44140625" style="8" customWidth="1"/>
    <col min="11" max="11" width="7.33203125" style="8" customWidth="1"/>
    <col min="12" max="13" width="4.44140625" style="8" customWidth="1"/>
    <col min="14" max="14" width="6.44140625" style="8" customWidth="1"/>
    <col min="15" max="15" width="5.88671875" style="8" customWidth="1"/>
    <col min="16" max="16" width="7.6640625" style="8" customWidth="1"/>
    <col min="17" max="17" width="7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9" ht="51.75" customHeight="1" x14ac:dyDescent="0.85">
      <c r="A1" s="11"/>
      <c r="Q1" s="484">
        <v>1</v>
      </c>
      <c r="R1" s="484"/>
    </row>
    <row r="2" spans="1:19" ht="15" customHeight="1" x14ac:dyDescent="0.3">
      <c r="A2" s="11"/>
      <c r="B2" s="7"/>
      <c r="C2" s="7"/>
      <c r="D2" s="7"/>
      <c r="E2" s="7"/>
      <c r="F2" s="7"/>
      <c r="G2" s="7"/>
      <c r="H2" s="7"/>
      <c r="I2" s="7"/>
      <c r="K2" s="7"/>
      <c r="L2" s="7"/>
      <c r="M2" s="441" t="s">
        <v>375</v>
      </c>
      <c r="N2" s="441"/>
      <c r="O2" s="441"/>
      <c r="P2" s="485" t="str">
        <f>LOOKUP(Q1,DATOS!A:A,DATOS!J:J)</f>
        <v>530421 SSA</v>
      </c>
      <c r="Q2" s="485"/>
      <c r="R2" s="485"/>
    </row>
    <row r="3" spans="1:19" ht="19.5" customHeight="1" x14ac:dyDescent="0.3">
      <c r="A3" s="11"/>
      <c r="B3" s="7"/>
      <c r="C3" s="7"/>
      <c r="D3" s="7"/>
      <c r="E3" s="7"/>
      <c r="F3" s="7"/>
      <c r="G3" s="7"/>
      <c r="H3" s="7"/>
      <c r="I3" s="7"/>
      <c r="J3" s="486">
        <f>LOOKUP(Q1,DATOS!A:A,DATOS!B:B)</f>
        <v>1</v>
      </c>
      <c r="K3" s="486"/>
      <c r="L3" s="7"/>
      <c r="M3" s="9"/>
      <c r="N3" s="440" t="s">
        <v>386</v>
      </c>
      <c r="O3" s="440"/>
      <c r="P3" s="271" t="str">
        <f>LOOKUP(Q1,DATOS!A:A,DATOS!K:K)</f>
        <v>ID</v>
      </c>
      <c r="Q3" s="356" t="s">
        <v>376</v>
      </c>
      <c r="R3" s="271">
        <f>LOOKUP(Q1,DATOS!A:A,DATOS!H:H)</f>
        <v>72</v>
      </c>
    </row>
    <row r="4" spans="1:19" ht="10.5" customHeight="1" x14ac:dyDescent="0.3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28"/>
    </row>
    <row r="5" spans="1:19" ht="30.75" customHeight="1" x14ac:dyDescent="0.3">
      <c r="A5" s="11"/>
      <c r="B5" s="7"/>
      <c r="C5" s="436" t="str">
        <f>LOOKUP(Q1,DATOS!A:A,DATOS!N:N)</f>
        <v>DR. ZAMBRANA</v>
      </c>
      <c r="D5" s="436"/>
      <c r="E5" s="436"/>
      <c r="F5" s="436"/>
      <c r="G5" s="7"/>
      <c r="H5" s="436" t="s">
        <v>156</v>
      </c>
      <c r="I5" s="436"/>
      <c r="J5" s="436"/>
      <c r="K5" s="436"/>
      <c r="L5" s="483" t="str">
        <f>LOOKUP(Q1,DATOS!A:A,DATOS!G:G)</f>
        <v>SIRPA SIRPA ANCELMO</v>
      </c>
      <c r="M5" s="483"/>
      <c r="N5" s="483"/>
      <c r="O5" s="483"/>
      <c r="P5" s="483"/>
      <c r="Q5" s="483"/>
      <c r="R5" s="483"/>
    </row>
    <row r="6" spans="1:19" s="266" customFormat="1" ht="12" customHeight="1" x14ac:dyDescent="0.3">
      <c r="A6" s="262"/>
      <c r="B6" s="263"/>
      <c r="C6" s="429" t="s">
        <v>380</v>
      </c>
      <c r="D6" s="429"/>
      <c r="E6" s="429"/>
      <c r="F6" s="429"/>
      <c r="G6" s="264"/>
      <c r="H6" s="429" t="s">
        <v>379</v>
      </c>
      <c r="I6" s="429"/>
      <c r="J6" s="429"/>
      <c r="K6" s="267"/>
      <c r="L6" s="430" t="s">
        <v>517</v>
      </c>
      <c r="M6" s="430"/>
      <c r="N6" s="430"/>
      <c r="O6" s="430"/>
      <c r="P6" s="430"/>
      <c r="Q6" s="430"/>
      <c r="R6" s="265"/>
    </row>
    <row r="7" spans="1:19" ht="7.5" customHeight="1" x14ac:dyDescent="0.3">
      <c r="A7" s="1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R7" s="7"/>
    </row>
    <row r="8" spans="1:19" ht="24.75" customHeight="1" x14ac:dyDescent="0.3">
      <c r="A8" s="11"/>
      <c r="B8" s="7"/>
      <c r="C8" s="436" t="str">
        <f>LOOKUP(Q1,DATOS!A:A,DATOS!L:L)</f>
        <v>PAISE EL ALTO</v>
      </c>
      <c r="D8" s="436"/>
      <c r="E8" s="436"/>
      <c r="F8" s="31"/>
      <c r="G8" s="479" t="str">
        <f>LOOKUP(Q1,DATOS!A:A,DATOS!M:M)</f>
        <v>CARDIOLOGIA</v>
      </c>
      <c r="H8" s="479"/>
      <c r="I8" s="479"/>
      <c r="J8" s="19"/>
      <c r="K8" s="7"/>
      <c r="L8" s="480">
        <f>LOOKUP(Q1,DATOS!A:A,DATOS!O:O)</f>
        <v>46108</v>
      </c>
      <c r="M8" s="480"/>
      <c r="N8" s="480"/>
      <c r="O8" s="480"/>
      <c r="P8" s="480"/>
      <c r="Q8" s="480"/>
      <c r="R8" s="38"/>
    </row>
    <row r="9" spans="1:19" s="266" customFormat="1" ht="12" customHeight="1" x14ac:dyDescent="0.3">
      <c r="A9" s="262"/>
      <c r="C9" s="431" t="s">
        <v>381</v>
      </c>
      <c r="D9" s="431"/>
      <c r="E9" s="431"/>
      <c r="F9" s="431"/>
      <c r="G9" s="431" t="s">
        <v>382</v>
      </c>
      <c r="H9" s="431"/>
      <c r="I9" s="431"/>
      <c r="J9" s="267"/>
      <c r="K9" s="267"/>
      <c r="L9" s="431" t="s">
        <v>383</v>
      </c>
      <c r="M9" s="431"/>
      <c r="N9" s="431"/>
      <c r="O9" s="431"/>
      <c r="P9" s="431"/>
      <c r="Q9" s="431"/>
      <c r="R9" s="267"/>
    </row>
    <row r="10" spans="1:19" ht="15" customHeight="1" x14ac:dyDescent="0.3">
      <c r="A10" s="11"/>
      <c r="B10" s="7"/>
      <c r="C10" s="7"/>
      <c r="D10" s="7"/>
      <c r="E10" s="7"/>
      <c r="F10" s="7"/>
      <c r="G10" s="7"/>
      <c r="H10" s="481"/>
      <c r="I10" s="481"/>
      <c r="J10" s="481"/>
      <c r="K10" s="481"/>
      <c r="L10" s="481"/>
      <c r="M10" s="7"/>
      <c r="N10" s="7"/>
      <c r="O10" s="7"/>
      <c r="P10" s="7"/>
      <c r="Q10" s="7"/>
      <c r="R10" s="7"/>
    </row>
    <row r="11" spans="1:19" ht="15.75" customHeight="1" x14ac:dyDescent="0.35">
      <c r="A11" s="11"/>
      <c r="C11" s="7"/>
      <c r="D11" s="49"/>
      <c r="E11" s="73"/>
      <c r="F11" s="73"/>
      <c r="G11" s="482" t="s">
        <v>249</v>
      </c>
      <c r="H11" s="482"/>
      <c r="I11" s="482"/>
      <c r="J11" s="482"/>
      <c r="K11" s="482"/>
      <c r="L11" s="482"/>
      <c r="M11" s="482"/>
      <c r="N11" s="482"/>
      <c r="O11" s="74"/>
      <c r="P11" s="74"/>
      <c r="Q11" s="15"/>
      <c r="R11" s="15"/>
      <c r="S11" s="7"/>
    </row>
    <row r="12" spans="1:19" ht="15" customHeight="1" x14ac:dyDescent="0.3">
      <c r="A12" s="11"/>
      <c r="C12" s="7"/>
      <c r="D12" s="49"/>
      <c r="E12" s="73"/>
      <c r="F12" s="73"/>
      <c r="G12" s="7"/>
      <c r="H12" s="7"/>
      <c r="I12" s="7"/>
      <c r="J12" s="7"/>
      <c r="K12" s="7"/>
      <c r="L12" s="7"/>
      <c r="M12" s="67"/>
      <c r="N12" s="74"/>
      <c r="O12" s="74"/>
      <c r="P12" s="74"/>
      <c r="Q12" s="15"/>
      <c r="S12" s="7"/>
    </row>
    <row r="13" spans="1:19" ht="15" customHeight="1" x14ac:dyDescent="0.3">
      <c r="A13" s="11"/>
      <c r="C13" s="7"/>
      <c r="D13" s="49"/>
      <c r="E13" s="73"/>
      <c r="F13" s="75"/>
      <c r="G13" s="69"/>
      <c r="I13" s="437"/>
      <c r="J13" s="437"/>
      <c r="K13" s="437"/>
      <c r="L13" s="437"/>
      <c r="M13" s="437"/>
      <c r="N13" s="437"/>
      <c r="O13" s="74"/>
      <c r="P13" s="74"/>
      <c r="Q13" s="68"/>
      <c r="S13" s="7"/>
    </row>
    <row r="14" spans="1:19" ht="16.5" customHeight="1" x14ac:dyDescent="0.35">
      <c r="A14" s="11"/>
      <c r="C14" s="7"/>
      <c r="D14" s="49"/>
      <c r="E14" s="73"/>
      <c r="F14" s="477" t="s">
        <v>496</v>
      </c>
      <c r="G14" s="477"/>
      <c r="H14" s="477"/>
      <c r="I14" s="477"/>
      <c r="J14" s="477"/>
      <c r="K14" s="487">
        <f>LOOKUP(Q1,DATOS!A:A,DATOS!AV:AV)</f>
        <v>12</v>
      </c>
      <c r="L14" s="487"/>
      <c r="M14" s="69" t="s">
        <v>499</v>
      </c>
      <c r="N14" s="91"/>
      <c r="O14" s="74"/>
      <c r="P14" s="74"/>
      <c r="Q14" s="68"/>
      <c r="S14" s="7"/>
    </row>
    <row r="15" spans="1:19" ht="15" customHeight="1" x14ac:dyDescent="0.35">
      <c r="A15" s="11"/>
      <c r="B15" s="7"/>
      <c r="C15" s="69"/>
      <c r="D15" s="76"/>
      <c r="E15" s="76"/>
      <c r="F15" s="278"/>
      <c r="G15" s="79"/>
      <c r="H15" s="477" t="s">
        <v>497</v>
      </c>
      <c r="I15" s="477"/>
      <c r="J15" s="477"/>
      <c r="K15" s="488">
        <f>LOOKUP(Q1,DATOS!A:A,DATOS!AW:AW)</f>
        <v>100</v>
      </c>
      <c r="L15" s="488"/>
      <c r="M15" s="69" t="s">
        <v>118</v>
      </c>
      <c r="N15" s="91"/>
      <c r="O15" s="74"/>
      <c r="P15" s="74"/>
      <c r="Q15" s="15"/>
      <c r="R15" s="70"/>
      <c r="S15" s="20"/>
    </row>
    <row r="16" spans="1:19" ht="15.75" customHeight="1" x14ac:dyDescent="0.35">
      <c r="A16" s="11"/>
      <c r="B16" s="7"/>
      <c r="C16" s="71"/>
      <c r="D16" s="49"/>
      <c r="E16" s="59"/>
      <c r="F16" s="279"/>
      <c r="G16" s="79"/>
      <c r="H16" s="477" t="s">
        <v>498</v>
      </c>
      <c r="I16" s="477"/>
      <c r="J16" s="477"/>
      <c r="K16" s="489">
        <f>LOOKUP(Q1,DATOS!A:A,DATOS!AX:AX)</f>
        <v>1</v>
      </c>
      <c r="L16" s="489"/>
      <c r="M16" s="69"/>
      <c r="N16" s="91"/>
      <c r="O16" s="74"/>
      <c r="P16" s="74"/>
      <c r="Q16" s="7"/>
      <c r="R16" s="15"/>
      <c r="S16" s="7"/>
    </row>
    <row r="17" spans="1:19" s="79" customFormat="1" ht="18.75" customHeight="1" x14ac:dyDescent="0.35">
      <c r="A17" s="344"/>
      <c r="B17" s="15"/>
      <c r="C17" s="15"/>
      <c r="D17" s="49"/>
      <c r="E17" s="90"/>
      <c r="F17" s="474" t="s">
        <v>501</v>
      </c>
      <c r="G17" s="474"/>
      <c r="H17" s="474"/>
      <c r="I17" s="474"/>
      <c r="J17" s="474"/>
      <c r="K17" s="488" t="str">
        <f>LOOKUP(Q1,DATOS!A:A,DATOS!AT:AT)</f>
        <v>-</v>
      </c>
      <c r="L17" s="488"/>
      <c r="M17" s="278" t="s">
        <v>486</v>
      </c>
      <c r="N17" s="488" t="str">
        <f>LOOKUP(Q1,DATOS!A:A,DATOS!AU:AU)</f>
        <v>-</v>
      </c>
      <c r="O17" s="488"/>
      <c r="P17" s="79" t="s">
        <v>502</v>
      </c>
      <c r="Q17" s="15"/>
      <c r="S17" s="15"/>
    </row>
    <row r="18" spans="1:19" s="79" customFormat="1" ht="18.75" customHeight="1" x14ac:dyDescent="0.35">
      <c r="A18" s="344"/>
      <c r="B18" s="15"/>
      <c r="C18" s="15"/>
      <c r="D18" s="49"/>
      <c r="E18" s="90"/>
      <c r="F18" s="474" t="s">
        <v>500</v>
      </c>
      <c r="G18" s="474"/>
      <c r="H18" s="474"/>
      <c r="I18" s="474"/>
      <c r="J18" s="474"/>
      <c r="K18" s="488" t="str">
        <f>LOOKUP(Q1,DATOS!A:A,DATOS!AR:AR)</f>
        <v>-</v>
      </c>
      <c r="L18" s="488"/>
      <c r="M18" s="15" t="s">
        <v>486</v>
      </c>
      <c r="N18" s="488" t="str">
        <f>LOOKUP(Q1,DATOS!A:A,DATOS!AS:AS)</f>
        <v>-</v>
      </c>
      <c r="O18" s="488"/>
      <c r="P18" s="168" t="s">
        <v>502</v>
      </c>
      <c r="Q18" s="15"/>
      <c r="R18" s="15"/>
    </row>
    <row r="19" spans="1:19" ht="16.5" customHeight="1" x14ac:dyDescent="0.3">
      <c r="A19" s="11"/>
      <c r="B19" s="7"/>
      <c r="C19" s="7"/>
      <c r="D19" s="49"/>
      <c r="E19" s="59"/>
      <c r="F19" s="59"/>
      <c r="G19" s="59"/>
      <c r="H19" s="65"/>
      <c r="I19" s="65"/>
      <c r="J19" s="65"/>
      <c r="K19" s="7"/>
      <c r="L19" s="7"/>
      <c r="M19" s="60"/>
      <c r="N19" s="57"/>
      <c r="O19" s="7"/>
      <c r="P19" s="7"/>
      <c r="Q19" s="7"/>
      <c r="R19" s="7"/>
    </row>
    <row r="20" spans="1:19" ht="5.25" customHeight="1" x14ac:dyDescent="0.3">
      <c r="A20" s="11"/>
      <c r="B20" s="7"/>
      <c r="C20" s="7"/>
      <c r="D20" s="53"/>
      <c r="E20" s="7"/>
      <c r="F20" s="7"/>
      <c r="G20" s="7"/>
      <c r="H20" s="15"/>
      <c r="I20" s="57"/>
      <c r="J20" s="7"/>
      <c r="K20" s="7"/>
      <c r="L20" s="7"/>
      <c r="M20" s="7"/>
      <c r="N20" s="57"/>
      <c r="O20" s="7"/>
      <c r="P20" s="7"/>
      <c r="Q20" s="7"/>
      <c r="R20" s="7"/>
    </row>
    <row r="21" spans="1:19" ht="14.4" x14ac:dyDescent="0.3">
      <c r="A21" s="11"/>
      <c r="B21" s="470" t="s">
        <v>261</v>
      </c>
      <c r="C21" s="470"/>
      <c r="D21" s="470"/>
      <c r="E21" s="470"/>
      <c r="F21" s="470"/>
      <c r="G21" s="441" t="s">
        <v>385</v>
      </c>
      <c r="H21" s="441"/>
      <c r="I21" s="471">
        <f>LOOKUP(Q1,DATOS!A:A,DATOS!P:P)</f>
        <v>46156</v>
      </c>
      <c r="J21" s="471"/>
      <c r="K21" s="471"/>
      <c r="L21" s="471"/>
      <c r="M21" s="471"/>
      <c r="N21" s="471"/>
      <c r="O21" s="471"/>
      <c r="P21" s="9" t="s">
        <v>169</v>
      </c>
      <c r="Q21" s="472">
        <f ca="1">NOW()</f>
        <v>46197.396101620368</v>
      </c>
      <c r="R21" s="472"/>
    </row>
    <row r="30" spans="1:19" ht="12.75" customHeight="1" x14ac:dyDescent="0.3"/>
    <row r="31" spans="1:19" ht="12.75" customHeight="1" x14ac:dyDescent="0.3"/>
    <row r="32" spans="1:19" ht="12.75" customHeight="1" x14ac:dyDescent="0.3"/>
  </sheetData>
  <sheetProtection sheet="1" objects="1" scenarios="1" selectLockedCells="1"/>
  <mergeCells count="37">
    <mergeCell ref="C5:F5"/>
    <mergeCell ref="H5:K5"/>
    <mergeCell ref="L5:R5"/>
    <mergeCell ref="Q1:R1"/>
    <mergeCell ref="M2:O2"/>
    <mergeCell ref="P2:R2"/>
    <mergeCell ref="J3:K3"/>
    <mergeCell ref="N3:O3"/>
    <mergeCell ref="I13:J13"/>
    <mergeCell ref="K13:N13"/>
    <mergeCell ref="C6:F6"/>
    <mergeCell ref="H6:J6"/>
    <mergeCell ref="L6:Q6"/>
    <mergeCell ref="C8:E8"/>
    <mergeCell ref="G8:I8"/>
    <mergeCell ref="L8:Q8"/>
    <mergeCell ref="C9:F9"/>
    <mergeCell ref="G9:I9"/>
    <mergeCell ref="L9:Q9"/>
    <mergeCell ref="H10:L10"/>
    <mergeCell ref="G11:N11"/>
    <mergeCell ref="Q21:R21"/>
    <mergeCell ref="F14:J14"/>
    <mergeCell ref="H16:J16"/>
    <mergeCell ref="F17:J17"/>
    <mergeCell ref="F18:J18"/>
    <mergeCell ref="K14:L14"/>
    <mergeCell ref="H15:J15"/>
    <mergeCell ref="K15:L15"/>
    <mergeCell ref="K16:L16"/>
    <mergeCell ref="K17:L17"/>
    <mergeCell ref="K18:L18"/>
    <mergeCell ref="B21:F21"/>
    <mergeCell ref="G21:H21"/>
    <mergeCell ref="I21:O21"/>
    <mergeCell ref="N17:O17"/>
    <mergeCell ref="N18:O18"/>
  </mergeCells>
  <pageMargins left="0.27559055118110237" right="0.39370078740157483" top="0.43307086614173229" bottom="0.98425196850393704" header="0" footer="0"/>
  <pageSetup orientation="portrait" blackAndWhite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S32"/>
  <sheetViews>
    <sheetView showGridLines="0" view="pageLayout" zoomScale="67" zoomScaleNormal="130" zoomScalePageLayoutView="67" workbookViewId="0">
      <selection activeCell="Q1" sqref="Q1:R1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6.44140625" style="8" customWidth="1"/>
    <col min="7" max="7" width="7.33203125" style="8" customWidth="1"/>
    <col min="8" max="8" width="7.6640625" style="8" customWidth="1"/>
    <col min="9" max="9" width="4.109375" style="8" customWidth="1"/>
    <col min="10" max="10" width="4.44140625" style="8" customWidth="1"/>
    <col min="11" max="11" width="7.33203125" style="8" customWidth="1"/>
    <col min="12" max="13" width="4.44140625" style="8" customWidth="1"/>
    <col min="14" max="14" width="6" style="8" customWidth="1"/>
    <col min="15" max="15" width="5.88671875" style="8" customWidth="1"/>
    <col min="16" max="16" width="9" style="8" customWidth="1"/>
    <col min="17" max="17" width="6.5546875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8" ht="41.25" customHeight="1" x14ac:dyDescent="0.85">
      <c r="A1" s="11"/>
      <c r="Q1" s="484">
        <v>15</v>
      </c>
      <c r="R1" s="484"/>
    </row>
    <row r="2" spans="1:18" ht="17.25" customHeight="1" x14ac:dyDescent="0.4">
      <c r="A2" s="11"/>
      <c r="B2" s="7"/>
      <c r="C2" s="7">
        <f>LOOKUP(Q1,DATOS!A:A,DATOS!R:R)</f>
        <v>0</v>
      </c>
      <c r="D2" s="7"/>
      <c r="E2" s="7"/>
      <c r="F2" s="7"/>
      <c r="G2" s="7"/>
      <c r="H2" s="7"/>
      <c r="I2" s="7"/>
      <c r="J2" s="492">
        <f>LOOKUP(Q1,DATOS!A:A,DATOS!B:B)</f>
        <v>15</v>
      </c>
      <c r="K2" s="492"/>
      <c r="L2" s="7"/>
      <c r="M2" s="441" t="s">
        <v>375</v>
      </c>
      <c r="N2" s="441"/>
      <c r="O2" s="441"/>
      <c r="P2" s="491" t="str">
        <f>LOOKUP(Q1,DATOS!A:A,DATOS!J:J)</f>
        <v>810101 YCA</v>
      </c>
      <c r="Q2" s="491"/>
      <c r="R2" s="115"/>
    </row>
    <row r="3" spans="1:18" ht="25.5" customHeight="1" x14ac:dyDescent="0.3">
      <c r="A3" s="11"/>
      <c r="B3" s="7"/>
      <c r="C3" s="7"/>
      <c r="D3" s="7"/>
      <c r="E3" s="7"/>
      <c r="F3" s="7"/>
      <c r="G3" s="7"/>
      <c r="H3" s="7"/>
      <c r="I3" s="7"/>
      <c r="J3" s="492"/>
      <c r="K3" s="492"/>
      <c r="L3" s="7"/>
      <c r="M3" s="9"/>
      <c r="N3" s="440" t="s">
        <v>377</v>
      </c>
      <c r="O3" s="440"/>
      <c r="P3" s="268" t="str">
        <f>LOOKUP(Q1,DATOS!A:A,DATOS!K:K)</f>
        <v>ID</v>
      </c>
      <c r="Q3" s="362" t="s">
        <v>387</v>
      </c>
      <c r="R3" s="271">
        <f>LOOKUP(Q1,DATOS!A:A,DATOS!H:H)</f>
        <v>45</v>
      </c>
    </row>
    <row r="4" spans="1:18" ht="13.5" customHeight="1" x14ac:dyDescent="0.3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28"/>
    </row>
    <row r="5" spans="1:18" ht="27.75" customHeight="1" x14ac:dyDescent="0.35">
      <c r="A5" s="11"/>
      <c r="B5" s="7"/>
      <c r="C5" s="436" t="str">
        <f>LOOKUP(Q1,DATOS!A:A,DATOS!N:N)</f>
        <v>DR. CHAVARRIA</v>
      </c>
      <c r="D5" s="436"/>
      <c r="E5" s="436"/>
      <c r="F5" s="436"/>
      <c r="G5" s="7"/>
      <c r="H5" s="436" t="s">
        <v>156</v>
      </c>
      <c r="I5" s="436"/>
      <c r="J5" s="436"/>
      <c r="K5" s="436"/>
      <c r="L5" s="490" t="str">
        <f>LOOKUP(Q1,DATOS!A:A,DATOS!G:G)</f>
        <v>YUJRA CACHI ALEJANDRO</v>
      </c>
      <c r="M5" s="490"/>
      <c r="N5" s="490"/>
      <c r="O5" s="490"/>
      <c r="P5" s="490"/>
      <c r="Q5" s="490"/>
      <c r="R5" s="490"/>
    </row>
    <row r="6" spans="1:18" s="266" customFormat="1" ht="12" customHeight="1" x14ac:dyDescent="0.3">
      <c r="A6" s="262"/>
      <c r="B6" s="263"/>
      <c r="C6" s="429" t="s">
        <v>380</v>
      </c>
      <c r="D6" s="429"/>
      <c r="E6" s="429"/>
      <c r="F6" s="429"/>
      <c r="G6" s="264"/>
      <c r="H6" s="429" t="s">
        <v>379</v>
      </c>
      <c r="I6" s="429"/>
      <c r="J6" s="429"/>
      <c r="K6" s="429"/>
      <c r="L6" s="430" t="s">
        <v>517</v>
      </c>
      <c r="M6" s="430"/>
      <c r="N6" s="430"/>
      <c r="O6" s="430"/>
      <c r="P6" s="430"/>
      <c r="Q6" s="430"/>
      <c r="R6" s="265"/>
    </row>
    <row r="7" spans="1:18" ht="7.5" customHeight="1" x14ac:dyDescent="0.3">
      <c r="A7" s="1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R7" s="7"/>
    </row>
    <row r="8" spans="1:18" ht="21.75" customHeight="1" x14ac:dyDescent="0.3">
      <c r="A8" s="11"/>
      <c r="B8" s="7"/>
      <c r="C8" s="436" t="str">
        <f>LOOKUP(Q1,DATOS!A:A,DATOS!L:L)</f>
        <v>PAISE EL ALTO</v>
      </c>
      <c r="D8" s="436"/>
      <c r="E8" s="436"/>
      <c r="F8" s="31"/>
      <c r="G8" s="479" t="str">
        <f>LOOKUP(Q1,DATOS!A:A,DATOS!M:M)</f>
        <v>REUMATOLOGIA</v>
      </c>
      <c r="H8" s="479"/>
      <c r="I8" s="479"/>
      <c r="J8" s="19"/>
      <c r="K8" s="7"/>
      <c r="L8" s="480">
        <f>LOOKUP(Q1,DATOS!A:A,DATOS!O:O)</f>
        <v>46105</v>
      </c>
      <c r="M8" s="480"/>
      <c r="N8" s="480"/>
      <c r="O8" s="480"/>
      <c r="P8" s="480"/>
      <c r="Q8" s="480"/>
      <c r="R8" s="38"/>
    </row>
    <row r="9" spans="1:18" s="266" customFormat="1" ht="12" customHeight="1" x14ac:dyDescent="0.3">
      <c r="A9" s="262"/>
      <c r="C9" s="431" t="s">
        <v>381</v>
      </c>
      <c r="D9" s="431"/>
      <c r="E9" s="431"/>
      <c r="F9" s="431"/>
      <c r="G9" s="431" t="s">
        <v>382</v>
      </c>
      <c r="H9" s="431"/>
      <c r="I9" s="431"/>
      <c r="J9" s="267"/>
      <c r="K9" s="267"/>
      <c r="L9" s="431" t="s">
        <v>383</v>
      </c>
      <c r="M9" s="431"/>
      <c r="N9" s="431"/>
      <c r="O9" s="431"/>
      <c r="P9" s="431"/>
      <c r="Q9" s="431"/>
      <c r="R9" s="267"/>
    </row>
    <row r="10" spans="1:18" ht="21" customHeight="1" x14ac:dyDescent="0.3">
      <c r="A10" s="11"/>
      <c r="B10" s="7"/>
      <c r="C10" s="7"/>
      <c r="D10" s="7"/>
      <c r="E10" s="7"/>
      <c r="F10" s="7"/>
      <c r="G10" s="7"/>
      <c r="H10" s="481" t="s">
        <v>388</v>
      </c>
      <c r="I10" s="481"/>
      <c r="J10" s="481"/>
      <c r="K10" s="481"/>
      <c r="L10" s="481"/>
      <c r="M10" s="7"/>
      <c r="N10" s="7"/>
      <c r="O10" s="7"/>
      <c r="P10" s="7"/>
      <c r="Q10" s="7"/>
      <c r="R10" s="7"/>
    </row>
    <row r="11" spans="1:18" ht="13.5" customHeight="1" x14ac:dyDescent="0.3">
      <c r="A11" s="11"/>
      <c r="B11" s="7"/>
      <c r="E11" s="111" t="s">
        <v>160</v>
      </c>
      <c r="F11" s="112">
        <f>LOOKUP(Q1,DATOS!A:A,DATOS!BC:BC)</f>
        <v>94</v>
      </c>
      <c r="G11" s="8" t="s">
        <v>114</v>
      </c>
      <c r="H11" s="8" t="s">
        <v>508</v>
      </c>
      <c r="M11" s="111" t="s">
        <v>161</v>
      </c>
      <c r="N11" s="112">
        <f>LOOKUP(Q1,DATOS!A:A,DATOS!BI:BI)</f>
        <v>0</v>
      </c>
      <c r="O11" s="8" t="s">
        <v>114</v>
      </c>
      <c r="P11" s="8" t="s">
        <v>510</v>
      </c>
      <c r="R11" s="7"/>
    </row>
    <row r="12" spans="1:18" ht="13.5" customHeight="1" x14ac:dyDescent="0.3">
      <c r="A12" s="11"/>
      <c r="B12" s="7"/>
      <c r="E12" s="111" t="s">
        <v>162</v>
      </c>
      <c r="F12" s="113">
        <f>LOOKUP(Q1,DATOS!A:A,DATOS!BH:BH)</f>
        <v>0</v>
      </c>
      <c r="G12" s="8" t="s">
        <v>118</v>
      </c>
      <c r="H12" s="8" t="s">
        <v>534</v>
      </c>
      <c r="M12" s="111" t="s">
        <v>163</v>
      </c>
      <c r="N12" s="112">
        <f>LOOKUP(Q1,DATOS!A:A,DATOS!BJ:BJ)</f>
        <v>0</v>
      </c>
      <c r="O12" s="8" t="s">
        <v>114</v>
      </c>
      <c r="P12" s="8" t="s">
        <v>511</v>
      </c>
      <c r="R12" s="7"/>
    </row>
    <row r="13" spans="1:18" ht="13.5" customHeight="1" x14ac:dyDescent="0.3">
      <c r="A13" s="11"/>
      <c r="B13" s="7"/>
      <c r="E13" s="111" t="s">
        <v>30</v>
      </c>
      <c r="F13" s="112" t="str">
        <f>LOOKUP(Q1,DATOS!A:A,DATOS!BF:BF)</f>
        <v/>
      </c>
      <c r="G13" s="8" t="s">
        <v>114</v>
      </c>
      <c r="H13" s="8" t="s">
        <v>293</v>
      </c>
      <c r="M13" s="111" t="s">
        <v>35</v>
      </c>
      <c r="N13" s="112">
        <f>LOOKUP(Q1,DATOS!A:A,DATOS!BK:BK)</f>
        <v>0</v>
      </c>
      <c r="O13" s="8" t="s">
        <v>114</v>
      </c>
      <c r="P13" s="8" t="s">
        <v>164</v>
      </c>
      <c r="R13" s="7"/>
    </row>
    <row r="14" spans="1:18" ht="13.5" customHeight="1" x14ac:dyDescent="0.3">
      <c r="A14" s="11"/>
      <c r="B14" s="7"/>
      <c r="E14" s="111" t="s">
        <v>31</v>
      </c>
      <c r="F14" s="112">
        <f>LOOKUP(Q1,DATOS!A:A,DATOS!BE:BE)</f>
        <v>0</v>
      </c>
      <c r="G14" s="8" t="s">
        <v>114</v>
      </c>
      <c r="H14" s="8" t="s">
        <v>292</v>
      </c>
      <c r="M14" s="111" t="s">
        <v>36</v>
      </c>
      <c r="N14" s="112" t="str">
        <f>LOOKUP(Q1,DATOS!A:A,DATOS!BL:BL)</f>
        <v/>
      </c>
      <c r="O14" s="8" t="s">
        <v>114</v>
      </c>
      <c r="P14" s="8" t="s">
        <v>129</v>
      </c>
      <c r="Q14" s="79"/>
      <c r="R14" s="7"/>
    </row>
    <row r="15" spans="1:18" ht="13.5" customHeight="1" x14ac:dyDescent="0.3">
      <c r="A15" s="11"/>
      <c r="B15" s="7"/>
      <c r="E15" s="111" t="s">
        <v>152</v>
      </c>
      <c r="F15" s="113">
        <f>LOOKUP(Q1,DATOS!A:A,DATOS!BD:BD)</f>
        <v>1.4</v>
      </c>
      <c r="G15" s="8" t="s">
        <v>114</v>
      </c>
      <c r="H15" s="8" t="s">
        <v>509</v>
      </c>
      <c r="M15" s="111" t="s">
        <v>131</v>
      </c>
      <c r="N15" s="112" t="str">
        <f>LOOKUP(Q1,DATOS!A:A,DATOS!BM:BM)</f>
        <v/>
      </c>
      <c r="O15" s="8" t="s">
        <v>114</v>
      </c>
      <c r="Q15" s="79"/>
      <c r="R15" s="7"/>
    </row>
    <row r="16" spans="1:18" ht="13.5" customHeight="1" x14ac:dyDescent="0.3">
      <c r="A16" s="11"/>
      <c r="B16" s="7"/>
      <c r="E16" s="111" t="s">
        <v>32</v>
      </c>
      <c r="F16" s="113">
        <f>LOOKUP(Q1,DATOS!A:A,DATOS!BG:BG)</f>
        <v>5.0999999999999996</v>
      </c>
      <c r="G16" s="8" t="s">
        <v>114</v>
      </c>
      <c r="H16" s="8" t="s">
        <v>294</v>
      </c>
      <c r="M16" s="111" t="s">
        <v>170</v>
      </c>
      <c r="N16" s="63">
        <f>LOOKUP(Q1,DATOS!A:A,DATOS!BN:BN)</f>
        <v>31</v>
      </c>
      <c r="O16" s="8" t="s">
        <v>167</v>
      </c>
      <c r="P16" s="8" t="s">
        <v>512</v>
      </c>
      <c r="Q16" s="79"/>
      <c r="R16" s="7"/>
    </row>
    <row r="17" spans="1:18" ht="13.5" customHeight="1" x14ac:dyDescent="0.3">
      <c r="A17" s="11"/>
      <c r="B17" s="7"/>
      <c r="E17" s="111" t="s">
        <v>48</v>
      </c>
      <c r="F17" s="112">
        <f>LOOKUP(Q1,DATOS!A:A,DATOS!BX:BX)</f>
        <v>0</v>
      </c>
      <c r="G17" s="8" t="s">
        <v>167</v>
      </c>
      <c r="H17" s="8" t="s">
        <v>295</v>
      </c>
      <c r="M17" s="111" t="s">
        <v>172</v>
      </c>
      <c r="N17" s="63">
        <f>LOOKUP(Q1,DATOS!A:A,DATOS!BO:BO)</f>
        <v>43</v>
      </c>
      <c r="O17" s="8" t="s">
        <v>167</v>
      </c>
      <c r="P17" s="8" t="s">
        <v>513</v>
      </c>
      <c r="Q17" s="79"/>
      <c r="R17" s="7"/>
    </row>
    <row r="18" spans="1:18" ht="13.5" customHeight="1" x14ac:dyDescent="0.3">
      <c r="A18" s="11"/>
      <c r="B18" s="7"/>
      <c r="E18" s="111" t="s">
        <v>165</v>
      </c>
      <c r="F18" s="113">
        <f>LOOKUP(Q1,DATOS!A:A,DATOS!BT:BT)</f>
        <v>0</v>
      </c>
      <c r="G18" s="8" t="s">
        <v>120</v>
      </c>
      <c r="H18" s="8" t="s">
        <v>296</v>
      </c>
      <c r="M18" s="111" t="s">
        <v>175</v>
      </c>
      <c r="N18" s="63">
        <f>LOOKUP(Q1,DATOS!A:A,DATOS!BP:BP)</f>
        <v>0</v>
      </c>
      <c r="O18" s="8" t="s">
        <v>167</v>
      </c>
      <c r="P18" s="8" t="s">
        <v>543</v>
      </c>
      <c r="Q18" s="79"/>
      <c r="R18" s="7"/>
    </row>
    <row r="19" spans="1:18" ht="13.5" customHeight="1" x14ac:dyDescent="0.3">
      <c r="A19" s="11"/>
      <c r="B19" s="7"/>
      <c r="E19" s="111" t="s">
        <v>166</v>
      </c>
      <c r="F19" s="113">
        <f>LOOKUP(Q1,DATOS!A:A,DATOS!BU:BU)</f>
        <v>4.2</v>
      </c>
      <c r="G19" s="8" t="s">
        <v>120</v>
      </c>
      <c r="H19" s="8" t="s">
        <v>297</v>
      </c>
      <c r="M19" s="111" t="s">
        <v>122</v>
      </c>
      <c r="N19" s="64">
        <f>LOOKUP(Q1,DATOS!A:A,DATOS!BQ:BQ)</f>
        <v>0</v>
      </c>
      <c r="O19" s="8" t="s">
        <v>114</v>
      </c>
      <c r="P19" s="8" t="s">
        <v>178</v>
      </c>
      <c r="Q19" s="79"/>
      <c r="R19" s="7"/>
    </row>
    <row r="20" spans="1:18" ht="13.5" customHeight="1" x14ac:dyDescent="0.3">
      <c r="A20" s="11"/>
      <c r="B20" s="7"/>
      <c r="E20" s="111"/>
      <c r="F20" s="112"/>
      <c r="M20" s="111" t="s">
        <v>123</v>
      </c>
      <c r="N20" s="64">
        <f>LOOKUP(Q1,DATOS!A:A,DATOS!BR:BR)</f>
        <v>0</v>
      </c>
      <c r="O20" s="8" t="s">
        <v>114</v>
      </c>
      <c r="P20" s="8" t="s">
        <v>179</v>
      </c>
      <c r="Q20" s="79"/>
      <c r="R20" s="7"/>
    </row>
    <row r="21" spans="1:18" ht="13.5" customHeight="1" x14ac:dyDescent="0.3">
      <c r="A21" s="11"/>
      <c r="B21" s="7"/>
      <c r="D21" s="114"/>
      <c r="E21" s="111" t="s">
        <v>168</v>
      </c>
      <c r="F21" s="493" t="str">
        <f>LOOKUP(Q1,DATOS!A:A,DATOS!CE:CE)</f>
        <v>FOSFATA ALCALINA   NHR</v>
      </c>
      <c r="G21" s="493"/>
      <c r="H21" s="493"/>
      <c r="I21" s="493"/>
      <c r="J21" s="493"/>
      <c r="K21" s="493"/>
      <c r="M21" s="111" t="s">
        <v>130</v>
      </c>
      <c r="N21" s="64" t="str">
        <f>LOOKUP(Q1,DATOS!A:A,DATOS!BS:BS)</f>
        <v/>
      </c>
      <c r="O21" s="8" t="s">
        <v>114</v>
      </c>
      <c r="P21" s="8" t="s">
        <v>180</v>
      </c>
      <c r="R21" s="7"/>
    </row>
    <row r="22" spans="1:18" ht="9" customHeight="1" x14ac:dyDescent="0.3">
      <c r="A22" s="11"/>
      <c r="B22" s="7"/>
      <c r="C22" s="7"/>
      <c r="D22" s="53"/>
      <c r="E22" s="7"/>
      <c r="F22" s="493"/>
      <c r="G22" s="493"/>
      <c r="H22" s="493"/>
      <c r="I22" s="493"/>
      <c r="J22" s="493"/>
      <c r="K22" s="493"/>
      <c r="L22" s="7"/>
      <c r="M22" s="7"/>
      <c r="N22" s="57"/>
      <c r="O22" s="7"/>
      <c r="P22" s="7"/>
      <c r="Q22" s="7"/>
      <c r="R22" s="7"/>
    </row>
    <row r="23" spans="1:18" ht="14.4" x14ac:dyDescent="0.3">
      <c r="A23" s="11"/>
      <c r="B23" s="62" t="s">
        <v>261</v>
      </c>
      <c r="C23" s="66"/>
      <c r="D23" s="66"/>
      <c r="E23" s="66"/>
      <c r="F23" s="66"/>
      <c r="G23" s="441" t="s">
        <v>385</v>
      </c>
      <c r="H23" s="441"/>
      <c r="I23" s="471">
        <f>LOOKUP(Q1,DATOS!A:A,DATOS!P:P)</f>
        <v>46156</v>
      </c>
      <c r="J23" s="471"/>
      <c r="K23" s="471"/>
      <c r="L23" s="471"/>
      <c r="M23" s="471"/>
      <c r="N23" s="471"/>
      <c r="O23" s="471"/>
      <c r="P23" s="9" t="s">
        <v>169</v>
      </c>
      <c r="Q23" s="472">
        <f ca="1">NOW()</f>
        <v>46197.396101620368</v>
      </c>
      <c r="R23" s="472"/>
    </row>
    <row r="32" spans="1:18" ht="12.75" customHeight="1" x14ac:dyDescent="0.3"/>
  </sheetData>
  <sheetProtection sheet="1" objects="1" scenarios="1" selectLockedCells="1"/>
  <mergeCells count="22">
    <mergeCell ref="L9:Q9"/>
    <mergeCell ref="H10:L10"/>
    <mergeCell ref="I23:O23"/>
    <mergeCell ref="Q23:R23"/>
    <mergeCell ref="C6:F6"/>
    <mergeCell ref="L6:Q6"/>
    <mergeCell ref="C8:E8"/>
    <mergeCell ref="L8:Q8"/>
    <mergeCell ref="G8:I8"/>
    <mergeCell ref="F21:K22"/>
    <mergeCell ref="H6:K6"/>
    <mergeCell ref="C9:F9"/>
    <mergeCell ref="G9:I9"/>
    <mergeCell ref="G23:H23"/>
    <mergeCell ref="Q1:R1"/>
    <mergeCell ref="M2:O2"/>
    <mergeCell ref="C5:F5"/>
    <mergeCell ref="H5:K5"/>
    <mergeCell ref="L5:R5"/>
    <mergeCell ref="P2:Q2"/>
    <mergeCell ref="J2:K3"/>
    <mergeCell ref="N3:O3"/>
  </mergeCells>
  <pageMargins left="0.27559055118110237" right="0.19685039370078741" top="0.43307086614173229" bottom="0.98425196850393704" header="0" footer="0"/>
  <pageSetup orientation="portrait" blackAndWhite="1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S31"/>
  <sheetViews>
    <sheetView showGridLines="0" zoomScale="69" zoomScaleNormal="115" workbookViewId="0">
      <selection activeCell="Q1" sqref="Q1:R1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6.44140625" style="8" customWidth="1"/>
    <col min="7" max="7" width="6.5546875" style="8" customWidth="1"/>
    <col min="8" max="8" width="7.6640625" style="8" customWidth="1"/>
    <col min="9" max="9" width="5.44140625" style="8" customWidth="1"/>
    <col min="10" max="10" width="4.44140625" style="8" customWidth="1"/>
    <col min="11" max="11" width="7.33203125" style="8" customWidth="1"/>
    <col min="12" max="13" width="4.44140625" style="8" customWidth="1"/>
    <col min="14" max="14" width="5.5546875" style="8" customWidth="1"/>
    <col min="15" max="16" width="7.6640625" style="8" customWidth="1"/>
    <col min="17" max="17" width="7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9" ht="66" customHeight="1" x14ac:dyDescent="0.85">
      <c r="A1" s="11"/>
      <c r="Q1" s="484">
        <v>6</v>
      </c>
      <c r="R1" s="484"/>
    </row>
    <row r="2" spans="1:19" ht="20.25" customHeight="1" x14ac:dyDescent="0.4">
      <c r="A2" s="11"/>
      <c r="B2" s="7"/>
      <c r="C2" s="7">
        <f>LOOKUP(Q1,DATOS!A:A,DATOS!R:R)</f>
        <v>0</v>
      </c>
      <c r="D2" s="7"/>
      <c r="E2" s="7"/>
      <c r="F2" s="7"/>
      <c r="G2" s="7"/>
      <c r="H2" s="7"/>
      <c r="I2" s="7"/>
      <c r="J2" s="438">
        <f>LOOKUP(Q1,DATOS!A:A,DATOS!B:B)</f>
        <v>6</v>
      </c>
      <c r="K2" s="438"/>
      <c r="L2" s="7"/>
      <c r="M2" s="441" t="s">
        <v>375</v>
      </c>
      <c r="N2" s="441"/>
      <c r="O2" s="441"/>
      <c r="P2" s="498" t="str">
        <f>LOOKUP(Q1,DATOS!A:A,DATOS!J:J)</f>
        <v>770729 CTF</v>
      </c>
      <c r="Q2" s="498"/>
      <c r="R2" s="498"/>
    </row>
    <row r="3" spans="1:19" ht="27.75" customHeight="1" x14ac:dyDescent="0.3">
      <c r="A3" s="11"/>
      <c r="B3" s="7"/>
      <c r="C3" s="7"/>
      <c r="D3" s="7"/>
      <c r="E3" s="7"/>
      <c r="F3" s="7"/>
      <c r="G3" s="7"/>
      <c r="H3" s="7"/>
      <c r="I3" s="7"/>
      <c r="J3" s="438"/>
      <c r="K3" s="438"/>
      <c r="L3" s="7"/>
      <c r="M3" s="9"/>
      <c r="N3" s="440" t="s">
        <v>386</v>
      </c>
      <c r="O3" s="440"/>
      <c r="P3" s="271">
        <f>LOOKUP(Q1,DATOS!A:A,DATOS!K:K)</f>
        <v>50</v>
      </c>
      <c r="Q3" s="356" t="s">
        <v>376</v>
      </c>
      <c r="R3" s="271">
        <f>LOOKUP(Q1,DATOS!A:A,DATOS!H:H)</f>
        <v>45</v>
      </c>
    </row>
    <row r="4" spans="1:19" ht="11.25" customHeight="1" x14ac:dyDescent="0.3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28"/>
    </row>
    <row r="5" spans="1:19" ht="20.25" customHeight="1" x14ac:dyDescent="0.3">
      <c r="A5" s="1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49"/>
      <c r="R5" s="28"/>
    </row>
    <row r="6" spans="1:19" ht="16.5" customHeight="1" x14ac:dyDescent="0.35">
      <c r="A6" s="11"/>
      <c r="B6" s="250"/>
      <c r="C6" s="501" t="str">
        <f>LOOKUP(Q1,DATOS!A:A,DATOS!N:N)</f>
        <v>DR. TARIFA</v>
      </c>
      <c r="D6" s="501"/>
      <c r="E6" s="501"/>
      <c r="F6" s="501"/>
      <c r="G6" s="250"/>
      <c r="H6" s="501" t="s">
        <v>156</v>
      </c>
      <c r="I6" s="501"/>
      <c r="J6" s="501"/>
      <c r="K6" s="501"/>
      <c r="L6" s="502" t="str">
        <f>LOOKUP(Q1,DATOS!A:A,DATOS!G:G)</f>
        <v>MAMANI CANAVIRI ROSMERY</v>
      </c>
      <c r="M6" s="502"/>
      <c r="N6" s="502"/>
      <c r="O6" s="502"/>
      <c r="P6" s="502"/>
      <c r="Q6" s="502"/>
      <c r="R6" s="502"/>
    </row>
    <row r="7" spans="1:19" ht="12" customHeight="1" x14ac:dyDescent="0.3">
      <c r="A7" s="11"/>
      <c r="B7" s="15"/>
      <c r="C7" s="503" t="s">
        <v>380</v>
      </c>
      <c r="D7" s="503"/>
      <c r="E7" s="503"/>
      <c r="F7" s="503"/>
      <c r="G7" s="18"/>
      <c r="H7" s="503" t="s">
        <v>379</v>
      </c>
      <c r="I7" s="503"/>
      <c r="J7" s="503"/>
      <c r="K7" s="7"/>
      <c r="L7" s="504" t="s">
        <v>517</v>
      </c>
      <c r="M7" s="504"/>
      <c r="N7" s="504"/>
      <c r="O7" s="504"/>
      <c r="P7" s="504"/>
      <c r="Q7" s="504"/>
      <c r="R7" s="14"/>
    </row>
    <row r="8" spans="1:19" ht="7.5" customHeight="1" x14ac:dyDescent="0.3">
      <c r="A8" s="11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7"/>
    </row>
    <row r="9" spans="1:19" ht="24.75" customHeight="1" x14ac:dyDescent="0.3">
      <c r="A9" s="11"/>
      <c r="B9" s="250"/>
      <c r="C9" s="501" t="str">
        <f>LOOKUP(Q1,DATOS!A:A,DATOS!L:L)</f>
        <v>PAISE EL ALTO</v>
      </c>
      <c r="D9" s="501"/>
      <c r="E9" s="501"/>
      <c r="F9" s="251"/>
      <c r="G9" s="505" t="str">
        <f>LOOKUP(Q1,DATOS!A:A,DATOS!M:M)</f>
        <v>NEUMOLOGIA</v>
      </c>
      <c r="H9" s="505"/>
      <c r="I9" s="505"/>
      <c r="J9" s="252"/>
      <c r="K9" s="250"/>
      <c r="L9" s="506">
        <f>LOOKUP(Q1,DATOS!A:A,DATOS!O:O)</f>
        <v>46154</v>
      </c>
      <c r="M9" s="506"/>
      <c r="N9" s="506"/>
      <c r="O9" s="506"/>
      <c r="P9" s="506"/>
      <c r="Q9" s="506"/>
      <c r="R9" s="253"/>
    </row>
    <row r="10" spans="1:19" ht="10.5" customHeight="1" x14ac:dyDescent="0.3">
      <c r="A10" s="11"/>
      <c r="C10" s="440" t="s">
        <v>381</v>
      </c>
      <c r="D10" s="440"/>
      <c r="E10" s="440"/>
      <c r="F10" s="440"/>
      <c r="G10" s="500" t="s">
        <v>382</v>
      </c>
      <c r="H10" s="500"/>
      <c r="I10" s="500"/>
      <c r="J10" s="500"/>
      <c r="K10" s="500"/>
      <c r="L10" s="440" t="s">
        <v>383</v>
      </c>
      <c r="M10" s="440"/>
      <c r="N10" s="440"/>
      <c r="O10" s="440"/>
      <c r="P10" s="440"/>
      <c r="Q10" s="440"/>
      <c r="R10" s="7"/>
    </row>
    <row r="11" spans="1:19" ht="20.25" customHeight="1" x14ac:dyDescent="0.3">
      <c r="A11" s="11"/>
      <c r="H11" s="499"/>
      <c r="I11" s="499"/>
      <c r="J11" s="499"/>
      <c r="K11" s="499"/>
      <c r="L11" s="499"/>
    </row>
    <row r="12" spans="1:19" ht="15.75" customHeight="1" x14ac:dyDescent="0.3">
      <c r="A12" s="11"/>
      <c r="B12" s="508" t="s">
        <v>112</v>
      </c>
      <c r="C12" s="508"/>
      <c r="D12" s="508"/>
      <c r="E12" s="508"/>
      <c r="F12" s="508"/>
      <c r="G12" s="508"/>
      <c r="H12" s="508"/>
      <c r="I12" s="508"/>
      <c r="M12" s="111" t="s">
        <v>171</v>
      </c>
      <c r="N12" s="495">
        <f>LOOKUP(Q1,DATOS!A:A,DATOS!CD:CD)</f>
        <v>0</v>
      </c>
      <c r="O12" s="495"/>
      <c r="P12" s="8" t="s">
        <v>265</v>
      </c>
      <c r="R12" s="79"/>
      <c r="S12" s="7"/>
    </row>
    <row r="13" spans="1:19" ht="15.75" customHeight="1" x14ac:dyDescent="0.3">
      <c r="A13" s="11"/>
      <c r="E13" s="111" t="s">
        <v>49</v>
      </c>
      <c r="F13" s="116">
        <f>LOOKUP(Q1,DATOS!A:A,DATOS!BY:BY)</f>
        <v>143.69999999999999</v>
      </c>
      <c r="G13" s="34" t="s">
        <v>113</v>
      </c>
      <c r="H13" s="8" t="s">
        <v>181</v>
      </c>
      <c r="I13" s="79"/>
      <c r="M13" s="111" t="s">
        <v>173</v>
      </c>
      <c r="N13" s="496">
        <f>LOOKUP(Q1,DATOS!A:A,DATOS!CC:CC)</f>
        <v>0</v>
      </c>
      <c r="O13" s="496"/>
      <c r="P13" s="8" t="s">
        <v>174</v>
      </c>
      <c r="S13" s="7"/>
    </row>
    <row r="14" spans="1:19" ht="15.75" customHeight="1" x14ac:dyDescent="0.3">
      <c r="A14" s="11"/>
      <c r="E14" s="111" t="s">
        <v>50</v>
      </c>
      <c r="F14" s="117">
        <f>LOOKUP(Q1,DATOS!A:A,DATOS!BZ:BZ)</f>
        <v>3.53</v>
      </c>
      <c r="G14" s="34" t="s">
        <v>113</v>
      </c>
      <c r="H14" s="34" t="s">
        <v>182</v>
      </c>
      <c r="M14" s="111" t="s">
        <v>176</v>
      </c>
      <c r="N14" s="494">
        <f>LOOKUP(Q1,DATOS!A:A,DATOS!CB:CB)</f>
        <v>0</v>
      </c>
      <c r="O14" s="494"/>
      <c r="P14" s="8" t="s">
        <v>174</v>
      </c>
      <c r="Q14" s="88" t="s">
        <v>177</v>
      </c>
      <c r="S14" s="7"/>
    </row>
    <row r="15" spans="1:19" ht="15.75" customHeight="1" x14ac:dyDescent="0.3">
      <c r="A15" s="11"/>
      <c r="E15" s="111" t="s">
        <v>51</v>
      </c>
      <c r="F15" s="116">
        <f>LOOKUP(Q1,DATOS!A:A,DATOS!CA:CA)</f>
        <v>113</v>
      </c>
      <c r="G15" s="34" t="s">
        <v>113</v>
      </c>
      <c r="H15" s="34" t="s">
        <v>183</v>
      </c>
      <c r="M15" s="80"/>
      <c r="N15" s="118"/>
      <c r="S15" s="7"/>
    </row>
    <row r="16" spans="1:19" ht="15.75" customHeight="1" x14ac:dyDescent="0.3">
      <c r="A16" s="11"/>
      <c r="E16" s="111"/>
      <c r="F16" s="117"/>
      <c r="K16" s="497"/>
      <c r="L16" s="497"/>
      <c r="M16" s="497"/>
      <c r="N16" s="497"/>
      <c r="O16" s="497"/>
      <c r="P16" s="497"/>
      <c r="Q16" s="79"/>
      <c r="R16" s="119"/>
      <c r="S16" s="20"/>
    </row>
    <row r="17" spans="1:19" ht="15.75" customHeight="1" x14ac:dyDescent="0.3">
      <c r="A17" s="11"/>
      <c r="D17" s="509" t="s">
        <v>535</v>
      </c>
      <c r="E17" s="509"/>
      <c r="F17" s="509"/>
      <c r="G17" s="509"/>
      <c r="H17" s="509"/>
      <c r="I17" s="509"/>
      <c r="J17" s="507">
        <f>LOOKUP(Q1,DATOS!A:A,DATOS!CS:CS)</f>
        <v>0</v>
      </c>
      <c r="K17" s="507"/>
      <c r="L17" s="34"/>
      <c r="M17" s="47"/>
      <c r="N17" s="47"/>
      <c r="O17" s="47"/>
      <c r="P17" s="47"/>
      <c r="S17" s="7"/>
    </row>
    <row r="18" spans="1:19" ht="15.75" customHeight="1" x14ac:dyDescent="0.3">
      <c r="A18" s="11"/>
      <c r="F18" s="111"/>
      <c r="I18" s="34"/>
      <c r="K18" s="47"/>
      <c r="L18" s="47"/>
      <c r="M18" s="47"/>
      <c r="N18" s="47"/>
      <c r="O18" s="47"/>
      <c r="P18" s="47"/>
      <c r="S18" s="7"/>
    </row>
    <row r="19" spans="1:19" ht="15.75" customHeight="1" x14ac:dyDescent="0.3">
      <c r="A19" s="11"/>
      <c r="F19" s="111"/>
      <c r="G19" s="510"/>
      <c r="H19" s="510"/>
      <c r="I19" s="34"/>
    </row>
    <row r="20" spans="1:19" ht="15.75" customHeight="1" x14ac:dyDescent="0.3">
      <c r="A20" s="11"/>
      <c r="F20" s="111"/>
      <c r="G20" s="507"/>
      <c r="H20" s="507"/>
      <c r="I20" s="34"/>
      <c r="J20" s="120"/>
    </row>
    <row r="21" spans="1:19" ht="5.25" customHeight="1" x14ac:dyDescent="0.3">
      <c r="A21" s="11"/>
      <c r="B21" s="7"/>
      <c r="C21" s="7"/>
      <c r="D21" s="29"/>
      <c r="E21" s="7"/>
      <c r="F21" s="7"/>
      <c r="G21" s="7"/>
      <c r="H21" s="15"/>
      <c r="I21" s="30"/>
      <c r="J21" s="7"/>
      <c r="K21" s="7"/>
      <c r="L21" s="7"/>
      <c r="M21" s="7"/>
      <c r="N21" s="30"/>
      <c r="O21" s="7"/>
      <c r="P21" s="7"/>
      <c r="Q21" s="7"/>
      <c r="R21" s="7"/>
    </row>
    <row r="22" spans="1:19" ht="13.5" customHeight="1" x14ac:dyDescent="0.3">
      <c r="A22" s="11"/>
      <c r="B22" s="470" t="s">
        <v>261</v>
      </c>
      <c r="C22" s="470"/>
      <c r="D22" s="470"/>
      <c r="E22" s="470"/>
      <c r="F22" s="470"/>
      <c r="G22" s="441" t="s">
        <v>385</v>
      </c>
      <c r="H22" s="441"/>
      <c r="I22" s="471">
        <f>LOOKUP(Q1,DATOS!A:A,DATOS!P:P)</f>
        <v>46156</v>
      </c>
      <c r="J22" s="471"/>
      <c r="K22" s="471"/>
      <c r="L22" s="471"/>
      <c r="M22" s="471"/>
      <c r="N22" s="471"/>
      <c r="O22" s="471"/>
      <c r="P22" s="9" t="s">
        <v>169</v>
      </c>
      <c r="Q22" s="472">
        <f ca="1">NOW()</f>
        <v>46197.396101620368</v>
      </c>
      <c r="R22" s="472"/>
    </row>
    <row r="31" spans="1:19" ht="12.75" customHeight="1" x14ac:dyDescent="0.3"/>
  </sheetData>
  <sheetProtection sheet="1" objects="1" scenarios="1" selectLockedCells="1"/>
  <mergeCells count="31">
    <mergeCell ref="B22:F22"/>
    <mergeCell ref="C10:F10"/>
    <mergeCell ref="C7:F7"/>
    <mergeCell ref="H7:J7"/>
    <mergeCell ref="L7:Q7"/>
    <mergeCell ref="C9:E9"/>
    <mergeCell ref="G9:I9"/>
    <mergeCell ref="L9:Q9"/>
    <mergeCell ref="G22:H22"/>
    <mergeCell ref="I22:O22"/>
    <mergeCell ref="Q22:R22"/>
    <mergeCell ref="J17:K17"/>
    <mergeCell ref="B12:I12"/>
    <mergeCell ref="D17:I17"/>
    <mergeCell ref="G20:H20"/>
    <mergeCell ref="G19:H19"/>
    <mergeCell ref="C6:F6"/>
    <mergeCell ref="H6:K6"/>
    <mergeCell ref="L6:R6"/>
    <mergeCell ref="J2:K3"/>
    <mergeCell ref="N3:O3"/>
    <mergeCell ref="N14:O14"/>
    <mergeCell ref="N12:O12"/>
    <mergeCell ref="N13:O13"/>
    <mergeCell ref="K16:P16"/>
    <mergeCell ref="Q1:R1"/>
    <mergeCell ref="M2:O2"/>
    <mergeCell ref="P2:R2"/>
    <mergeCell ref="L10:Q10"/>
    <mergeCell ref="H11:L11"/>
    <mergeCell ref="G10:K10"/>
  </mergeCells>
  <pageMargins left="0.27559055118110237" right="0.19685039370078741" top="0.39370078740157483" bottom="0.98425196850393704" header="0" footer="0"/>
  <pageSetup orientation="portrait" blackAndWhite="1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</sheetPr>
  <dimension ref="A1:S31"/>
  <sheetViews>
    <sheetView showGridLines="0" zoomScale="90" zoomScaleNormal="130" workbookViewId="0">
      <selection activeCell="Q1" sqref="Q1:R1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12.44140625" style="8" customWidth="1"/>
    <col min="7" max="7" width="7.33203125" style="8" customWidth="1"/>
    <col min="8" max="8" width="5" style="8" customWidth="1"/>
    <col min="9" max="9" width="4.109375" style="8" customWidth="1"/>
    <col min="10" max="10" width="5.5546875" style="8" customWidth="1"/>
    <col min="11" max="11" width="7" style="8" customWidth="1"/>
    <col min="12" max="13" width="4.44140625" style="8" customWidth="1"/>
    <col min="14" max="14" width="3.5546875" style="8" customWidth="1"/>
    <col min="15" max="15" width="5.88671875" style="8" customWidth="1"/>
    <col min="16" max="16" width="4" style="8" customWidth="1"/>
    <col min="17" max="17" width="7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9" ht="66" customHeight="1" x14ac:dyDescent="0.85">
      <c r="A1" s="11"/>
      <c r="Q1" s="484">
        <v>12</v>
      </c>
      <c r="R1" s="484"/>
    </row>
    <row r="2" spans="1:19" ht="15" customHeight="1" x14ac:dyDescent="0.4">
      <c r="A2" s="11"/>
      <c r="B2" s="7"/>
      <c r="C2" s="7">
        <f>LOOKUP(Q1,DATOS!A:A,DATOS!R:R)</f>
        <v>0</v>
      </c>
      <c r="D2" s="7"/>
      <c r="E2" s="7"/>
      <c r="F2" s="7"/>
      <c r="G2" s="7"/>
      <c r="H2" s="7"/>
      <c r="I2" s="438">
        <f>LOOKUP(Q1,DATOS!A:A,DATOS!B:B)</f>
        <v>12</v>
      </c>
      <c r="J2" s="438"/>
      <c r="K2" s="438"/>
      <c r="L2" s="7"/>
      <c r="M2" s="441" t="s">
        <v>375</v>
      </c>
      <c r="N2" s="441"/>
      <c r="O2" s="441"/>
      <c r="P2" s="511" t="str">
        <f>LOOKUP(Q1,DATOS!A:A,DATOS!J:J)</f>
        <v>890805 CCH</v>
      </c>
      <c r="Q2" s="511"/>
      <c r="R2" s="511"/>
    </row>
    <row r="3" spans="1:19" ht="30.75" customHeight="1" x14ac:dyDescent="0.3">
      <c r="A3" s="11"/>
      <c r="B3" s="7"/>
      <c r="C3" s="7"/>
      <c r="D3" s="7"/>
      <c r="E3" s="7"/>
      <c r="F3" s="7"/>
      <c r="G3" s="7"/>
      <c r="H3" s="7"/>
      <c r="I3" s="438"/>
      <c r="J3" s="438"/>
      <c r="K3" s="438"/>
      <c r="L3" s="7"/>
      <c r="M3" s="9"/>
      <c r="N3" s="440" t="s">
        <v>377</v>
      </c>
      <c r="O3" s="440"/>
      <c r="P3" s="271">
        <f>LOOKUP(Q1,DATOS!A:A,DATOS!K:K)</f>
        <v>50</v>
      </c>
      <c r="Q3" s="356" t="s">
        <v>376</v>
      </c>
      <c r="R3" s="271">
        <f>LOOKUP(Q1,DATOS!A:A,DATOS!H:H)</f>
        <v>35</v>
      </c>
    </row>
    <row r="4" spans="1:19" ht="11.25" customHeight="1" x14ac:dyDescent="0.85">
      <c r="A4" s="11"/>
      <c r="B4" s="7"/>
      <c r="C4" s="7"/>
      <c r="D4" s="7"/>
      <c r="E4" s="7"/>
      <c r="F4" s="7"/>
      <c r="G4" s="7"/>
      <c r="H4" s="7"/>
      <c r="I4" s="166"/>
      <c r="J4" s="166"/>
      <c r="K4" s="166"/>
      <c r="L4" s="7"/>
      <c r="M4" s="9"/>
      <c r="N4" s="28"/>
      <c r="O4" s="28"/>
      <c r="P4" s="7"/>
      <c r="R4" s="44"/>
    </row>
    <row r="5" spans="1:19" ht="12" customHeight="1" x14ac:dyDescent="0.3">
      <c r="A5" s="1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8"/>
    </row>
    <row r="6" spans="1:19" ht="17.25" customHeight="1" x14ac:dyDescent="0.35">
      <c r="A6" s="11"/>
      <c r="B6" s="7"/>
      <c r="C6" s="436" t="str">
        <f>LOOKUP(Q1,DATOS!A:A,DATOS!N:N)</f>
        <v>DRA. CHAMBI</v>
      </c>
      <c r="D6" s="436"/>
      <c r="E6" s="436"/>
      <c r="F6" s="436"/>
      <c r="G6" s="7"/>
      <c r="H6" s="436" t="s">
        <v>156</v>
      </c>
      <c r="I6" s="436"/>
      <c r="J6" s="436"/>
      <c r="K6" s="436"/>
      <c r="L6" s="490" t="str">
        <f>LOOKUP(Q1,DATOS!A:A,DATOS!G:G)</f>
        <v>TORREZ VARGAS DELIA</v>
      </c>
      <c r="M6" s="490"/>
      <c r="N6" s="490"/>
      <c r="O6" s="490"/>
      <c r="P6" s="490"/>
      <c r="Q6" s="490"/>
      <c r="R6" s="490"/>
    </row>
    <row r="7" spans="1:19" s="259" customFormat="1" ht="12" customHeight="1" x14ac:dyDescent="0.3">
      <c r="A7" s="254"/>
      <c r="B7" s="255"/>
      <c r="C7" s="512" t="s">
        <v>380</v>
      </c>
      <c r="D7" s="512"/>
      <c r="E7" s="512"/>
      <c r="F7" s="512"/>
      <c r="G7" s="256"/>
      <c r="H7" s="512" t="s">
        <v>379</v>
      </c>
      <c r="I7" s="512"/>
      <c r="J7" s="512"/>
      <c r="K7" s="257"/>
      <c r="L7" s="513" t="s">
        <v>517</v>
      </c>
      <c r="M7" s="513"/>
      <c r="N7" s="513"/>
      <c r="O7" s="513"/>
      <c r="P7" s="513"/>
      <c r="Q7" s="513"/>
      <c r="R7" s="258"/>
    </row>
    <row r="8" spans="1:19" ht="7.5" customHeight="1" x14ac:dyDescent="0.3">
      <c r="A8" s="11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7"/>
    </row>
    <row r="9" spans="1:19" ht="21" customHeight="1" x14ac:dyDescent="0.3">
      <c r="A9" s="11"/>
      <c r="B9" s="7"/>
      <c r="C9" s="436" t="str">
        <f>LOOKUP(Q1,DATOS!A:A,DATOS!L:L)</f>
        <v>PAISE EL ALTO</v>
      </c>
      <c r="D9" s="436"/>
      <c r="E9" s="436"/>
      <c r="F9" s="31"/>
      <c r="G9" s="479" t="str">
        <f>LOOKUP(Q1,DATOS!A:A,DATOS!M:M)</f>
        <v>GINECOLOGIA</v>
      </c>
      <c r="H9" s="479"/>
      <c r="I9" s="479"/>
      <c r="J9" s="19"/>
      <c r="K9" s="506">
        <f>LOOKUP(Q1,DATOS!A:A,DATOS!O:O)</f>
        <v>46141</v>
      </c>
      <c r="L9" s="506"/>
      <c r="M9" s="506"/>
      <c r="N9" s="506"/>
      <c r="O9" s="506"/>
      <c r="P9" s="506"/>
      <c r="Q9" s="506"/>
      <c r="R9" s="38"/>
    </row>
    <row r="10" spans="1:19" ht="12.75" customHeight="1" x14ac:dyDescent="0.3">
      <c r="A10" s="11"/>
      <c r="B10" s="259"/>
      <c r="C10" s="500" t="s">
        <v>381</v>
      </c>
      <c r="D10" s="500"/>
      <c r="E10" s="500"/>
      <c r="F10" s="500"/>
      <c r="G10" s="500" t="s">
        <v>382</v>
      </c>
      <c r="H10" s="500"/>
      <c r="I10" s="500"/>
      <c r="J10" s="500"/>
      <c r="K10" s="500"/>
      <c r="L10" s="500" t="s">
        <v>383</v>
      </c>
      <c r="M10" s="500"/>
      <c r="N10" s="500"/>
      <c r="O10" s="500"/>
      <c r="P10" s="500"/>
      <c r="Q10" s="500"/>
      <c r="R10" s="257"/>
    </row>
    <row r="11" spans="1:19" ht="21" customHeight="1" x14ac:dyDescent="0.3">
      <c r="A11" s="11"/>
      <c r="B11" s="7"/>
      <c r="C11" s="7"/>
      <c r="D11" s="7"/>
      <c r="E11" s="7"/>
      <c r="F11" s="7"/>
      <c r="G11" s="7"/>
      <c r="H11" s="481"/>
      <c r="I11" s="481"/>
      <c r="J11" s="481"/>
      <c r="K11" s="481"/>
      <c r="L11" s="481"/>
      <c r="M11" s="7"/>
      <c r="N11" s="7"/>
      <c r="O11" s="7"/>
      <c r="P11" s="7"/>
      <c r="Q11" s="7"/>
      <c r="R11" s="7"/>
    </row>
    <row r="12" spans="1:19" ht="15.75" customHeight="1" x14ac:dyDescent="0.3">
      <c r="A12" s="11"/>
      <c r="C12" s="7"/>
      <c r="D12" s="49" t="s">
        <v>133</v>
      </c>
      <c r="E12" s="520">
        <f>LOOKUP(Q1,DATOS!A:A,DATOS!CF:CF)</f>
        <v>1.6</v>
      </c>
      <c r="F12" s="520"/>
      <c r="G12" s="7" t="s">
        <v>541</v>
      </c>
      <c r="H12" s="7" t="s">
        <v>542</v>
      </c>
      <c r="I12" s="7"/>
      <c r="J12" s="7"/>
      <c r="K12" s="7"/>
      <c r="L12" s="7"/>
      <c r="M12" s="49" t="s">
        <v>138</v>
      </c>
      <c r="N12" s="519">
        <f>LOOKUP(Q1,DATOS!A:A,DATOS!CJ:CJ)</f>
        <v>0</v>
      </c>
      <c r="O12" s="519"/>
      <c r="P12" s="519"/>
      <c r="Q12" s="44"/>
      <c r="R12" s="15"/>
      <c r="S12" s="7"/>
    </row>
    <row r="13" spans="1:19" ht="15" customHeight="1" x14ac:dyDescent="0.3">
      <c r="A13" s="11"/>
      <c r="C13" s="7"/>
      <c r="D13" s="49" t="s">
        <v>134</v>
      </c>
      <c r="E13" s="521">
        <f>LOOKUP(Q1,DATOS!A:A,DATOS!CG:CG)</f>
        <v>0</v>
      </c>
      <c r="F13" s="521"/>
      <c r="G13" s="7" t="s">
        <v>135</v>
      </c>
      <c r="H13" s="7" t="s">
        <v>544</v>
      </c>
      <c r="I13" s="7"/>
      <c r="J13" s="7"/>
      <c r="K13" s="7"/>
      <c r="L13" s="7"/>
      <c r="M13" s="67" t="s">
        <v>184</v>
      </c>
      <c r="N13" s="519">
        <f>LOOKUP(Q1,DATOS!A:A,DATOS!CI:CI)</f>
        <v>0</v>
      </c>
      <c r="O13" s="519"/>
      <c r="P13" s="519"/>
      <c r="Q13" s="15"/>
      <c r="S13" s="7"/>
    </row>
    <row r="14" spans="1:19" ht="15" customHeight="1" x14ac:dyDescent="0.3">
      <c r="A14" s="11"/>
      <c r="C14" s="7"/>
      <c r="D14" s="49" t="s">
        <v>58</v>
      </c>
      <c r="E14" s="515">
        <f>LOOKUP(Q1,DATOS!A:A,DATOS!CH:CH)</f>
        <v>0</v>
      </c>
      <c r="F14" s="515"/>
      <c r="G14" s="7" t="s">
        <v>135</v>
      </c>
      <c r="H14" s="7" t="s">
        <v>137</v>
      </c>
      <c r="I14" s="7"/>
      <c r="J14" s="7"/>
      <c r="K14" s="7"/>
      <c r="L14" s="7"/>
      <c r="M14" s="49" t="s">
        <v>189</v>
      </c>
      <c r="N14" s="519">
        <f>LOOKUP(Q1,DATOS!A:A,DATOS!CL:CL)</f>
        <v>0</v>
      </c>
      <c r="O14" s="519"/>
      <c r="P14" s="519"/>
      <c r="Q14" s="68"/>
      <c r="S14" s="7"/>
    </row>
    <row r="15" spans="1:19" ht="16.5" customHeight="1" x14ac:dyDescent="0.3">
      <c r="A15" s="11"/>
      <c r="C15" s="7"/>
      <c r="D15" s="49" t="s">
        <v>185</v>
      </c>
      <c r="E15" s="518">
        <f>LOOKUP(Q1,DATOS!A:A,DATOS!CK:CK)</f>
        <v>0</v>
      </c>
      <c r="F15" s="518"/>
      <c r="G15" s="518"/>
      <c r="H15" s="7"/>
      <c r="I15" s="7"/>
      <c r="J15" s="379"/>
      <c r="K15" s="379"/>
      <c r="L15" s="379"/>
      <c r="M15" s="380" t="s">
        <v>190</v>
      </c>
      <c r="N15" s="514">
        <f>LOOKUP(Q1,DATOS!A:A,DATOS!CM:CM)</f>
        <v>0</v>
      </c>
      <c r="O15" s="514"/>
      <c r="P15" s="514"/>
      <c r="Q15" s="381"/>
      <c r="S15" s="7"/>
    </row>
    <row r="16" spans="1:19" ht="15" customHeight="1" x14ac:dyDescent="0.3">
      <c r="A16" s="11"/>
      <c r="B16" s="7"/>
      <c r="C16" s="69"/>
      <c r="D16" s="517" t="s">
        <v>186</v>
      </c>
      <c r="E16" s="517"/>
      <c r="F16" s="517"/>
      <c r="H16" s="7"/>
      <c r="I16" s="7"/>
      <c r="J16" s="379"/>
      <c r="K16" s="382"/>
      <c r="L16" s="383"/>
      <c r="M16" s="380" t="s">
        <v>140</v>
      </c>
      <c r="N16" s="514">
        <f>LOOKUP(Q1,DATOS!A:A,DATOS!CN:CN)</f>
        <v>0</v>
      </c>
      <c r="O16" s="514"/>
      <c r="P16" s="514"/>
      <c r="Q16" s="384"/>
      <c r="R16" s="70"/>
      <c r="S16" s="20"/>
    </row>
    <row r="17" spans="1:19" ht="15.75" customHeight="1" x14ac:dyDescent="0.3">
      <c r="A17" s="11"/>
      <c r="B17" s="7"/>
      <c r="C17" s="71"/>
      <c r="D17" s="49" t="s">
        <v>136</v>
      </c>
      <c r="E17" s="516" t="str">
        <f>LOOKUP(Q1,DATOS!A:A,DATOS!CO:CO)</f>
        <v>-</v>
      </c>
      <c r="F17" s="516"/>
      <c r="G17" s="516"/>
      <c r="H17" s="7"/>
      <c r="I17" s="7"/>
      <c r="J17" s="7"/>
      <c r="K17" s="7"/>
      <c r="L17" s="7"/>
      <c r="M17" s="49"/>
      <c r="N17" s="515"/>
      <c r="O17" s="515"/>
      <c r="P17" s="515"/>
      <c r="Q17" s="7"/>
      <c r="R17" s="15"/>
      <c r="S17" s="7"/>
    </row>
    <row r="18" spans="1:19" ht="18" customHeight="1" x14ac:dyDescent="0.3">
      <c r="A18" s="11"/>
      <c r="B18" s="7"/>
      <c r="C18" s="7"/>
      <c r="D18" s="49" t="s">
        <v>139</v>
      </c>
      <c r="E18" s="516" t="str">
        <f>LOOKUP(Q1,DATOS!A:A,DATOS!CP:CP)</f>
        <v>-</v>
      </c>
      <c r="F18" s="516"/>
      <c r="G18" s="516"/>
      <c r="H18" s="7"/>
      <c r="I18" s="7"/>
      <c r="J18" s="7"/>
      <c r="K18" s="7"/>
      <c r="L18" s="7"/>
      <c r="M18" s="49"/>
      <c r="N18" s="72"/>
      <c r="O18" s="72"/>
      <c r="Q18" s="7"/>
      <c r="S18" s="7"/>
    </row>
    <row r="19" spans="1:19" ht="18" customHeight="1" x14ac:dyDescent="0.3">
      <c r="A19" s="11"/>
      <c r="B19" s="7"/>
      <c r="C19" s="7"/>
      <c r="D19" s="49" t="s">
        <v>187</v>
      </c>
      <c r="E19" s="516" t="str">
        <f>LOOKUP(Q1,DATOS!A:A,DATOS!CQ:CQ)</f>
        <v>-</v>
      </c>
      <c r="F19" s="516"/>
      <c r="G19" s="516"/>
      <c r="H19" s="7"/>
      <c r="I19" s="7"/>
      <c r="J19" s="7"/>
      <c r="K19" s="7"/>
      <c r="L19" s="7"/>
      <c r="M19" s="49"/>
      <c r="N19" s="72"/>
      <c r="O19" s="72"/>
      <c r="P19" s="40"/>
      <c r="Q19" s="44"/>
      <c r="R19" s="7"/>
    </row>
    <row r="20" spans="1:19" ht="16.5" customHeight="1" x14ac:dyDescent="0.3">
      <c r="A20" s="11"/>
      <c r="B20" s="7"/>
      <c r="C20" s="7"/>
      <c r="D20" s="49" t="s">
        <v>188</v>
      </c>
      <c r="E20" s="516" t="str">
        <f>LOOKUP(Q1,DATOS!A:A,DATOS!CR:CR)</f>
        <v>-</v>
      </c>
      <c r="F20" s="516"/>
      <c r="G20" s="516"/>
      <c r="H20" s="65"/>
      <c r="I20" s="65"/>
      <c r="J20" s="65"/>
      <c r="K20" s="7"/>
      <c r="L20" s="7"/>
      <c r="M20" s="60"/>
      <c r="N20" s="57"/>
      <c r="O20" s="7"/>
      <c r="P20" s="7"/>
      <c r="Q20" s="7"/>
      <c r="R20" s="7"/>
    </row>
    <row r="21" spans="1:19" ht="5.25" customHeight="1" x14ac:dyDescent="0.3">
      <c r="A21" s="11"/>
      <c r="B21" s="7"/>
      <c r="C21" s="7"/>
      <c r="D21" s="53"/>
      <c r="E21" s="7"/>
      <c r="F21" s="7"/>
      <c r="G21" s="7"/>
      <c r="H21" s="15"/>
      <c r="I21" s="57"/>
      <c r="J21" s="7"/>
      <c r="K21" s="7"/>
      <c r="L21" s="7"/>
      <c r="M21" s="7"/>
      <c r="N21" s="57"/>
      <c r="O21" s="7"/>
      <c r="P21" s="7"/>
      <c r="Q21" s="7"/>
      <c r="R21" s="7"/>
    </row>
    <row r="22" spans="1:19" ht="14.4" x14ac:dyDescent="0.3">
      <c r="A22" s="11"/>
      <c r="B22" s="470" t="s">
        <v>261</v>
      </c>
      <c r="C22" s="470"/>
      <c r="D22" s="470"/>
      <c r="E22" s="470"/>
      <c r="F22" s="470"/>
      <c r="G22" s="441" t="s">
        <v>385</v>
      </c>
      <c r="H22" s="441"/>
      <c r="I22" s="471">
        <f>LOOKUP(Q1,DATOS!A:A,DATOS!P:P)</f>
        <v>46156</v>
      </c>
      <c r="J22" s="471"/>
      <c r="K22" s="471"/>
      <c r="L22" s="471"/>
      <c r="M22" s="471"/>
      <c r="N22" s="471"/>
      <c r="O22" s="471"/>
      <c r="P22" s="9" t="s">
        <v>169</v>
      </c>
      <c r="Q22" s="472">
        <f ca="1">NOW()</f>
        <v>46197.396101620368</v>
      </c>
      <c r="R22" s="472"/>
    </row>
    <row r="31" spans="1:19" ht="12.75" customHeight="1" x14ac:dyDescent="0.3"/>
  </sheetData>
  <sheetProtection sheet="1" objects="1" scenarios="1" selectLockedCells="1"/>
  <mergeCells count="37">
    <mergeCell ref="E15:G15"/>
    <mergeCell ref="N12:P12"/>
    <mergeCell ref="N13:P13"/>
    <mergeCell ref="N14:P14"/>
    <mergeCell ref="N15:P15"/>
    <mergeCell ref="E12:F12"/>
    <mergeCell ref="E13:F13"/>
    <mergeCell ref="E14:F14"/>
    <mergeCell ref="N16:P16"/>
    <mergeCell ref="N17:P17"/>
    <mergeCell ref="I22:O22"/>
    <mergeCell ref="Q22:R22"/>
    <mergeCell ref="E17:G17"/>
    <mergeCell ref="E18:G18"/>
    <mergeCell ref="E19:G19"/>
    <mergeCell ref="E20:G20"/>
    <mergeCell ref="D16:F16"/>
    <mergeCell ref="B22:F22"/>
    <mergeCell ref="G22:H22"/>
    <mergeCell ref="L10:Q10"/>
    <mergeCell ref="H11:L11"/>
    <mergeCell ref="C7:F7"/>
    <mergeCell ref="H7:J7"/>
    <mergeCell ref="L7:Q7"/>
    <mergeCell ref="C9:E9"/>
    <mergeCell ref="G9:I9"/>
    <mergeCell ref="C10:F10"/>
    <mergeCell ref="G10:K10"/>
    <mergeCell ref="K9:Q9"/>
    <mergeCell ref="Q1:R1"/>
    <mergeCell ref="M2:O2"/>
    <mergeCell ref="P2:R2"/>
    <mergeCell ref="C6:F6"/>
    <mergeCell ref="H6:K6"/>
    <mergeCell ref="L6:R6"/>
    <mergeCell ref="I2:K3"/>
    <mergeCell ref="N3:O3"/>
  </mergeCells>
  <pageMargins left="0.27559055118110237" right="0.39370078740157483" top="0.43307086614173229" bottom="0.98425196850393704" header="0" footer="0"/>
  <pageSetup orientation="portrait" blackAndWhite="1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X30"/>
  <sheetViews>
    <sheetView showGridLines="0" zoomScale="84" zoomScaleNormal="160" workbookViewId="0">
      <selection activeCell="S1" sqref="S1"/>
    </sheetView>
  </sheetViews>
  <sheetFormatPr baseColWidth="10" defaultColWidth="0" defaultRowHeight="0" customHeight="1" zeroHeight="1" x14ac:dyDescent="0.3"/>
  <cols>
    <col min="1" max="1" width="27.44140625" style="11" customWidth="1"/>
    <col min="2" max="3" width="4.44140625" style="8" customWidth="1"/>
    <col min="4" max="4" width="2.6640625" style="8" customWidth="1"/>
    <col min="5" max="5" width="8.109375" style="8" customWidth="1"/>
    <col min="6" max="6" width="3.44140625" style="8" customWidth="1"/>
    <col min="7" max="7" width="5.109375" style="8" customWidth="1"/>
    <col min="8" max="8" width="0.88671875" style="8" customWidth="1"/>
    <col min="9" max="9" width="4.6640625" style="8" customWidth="1"/>
    <col min="10" max="10" width="6.6640625" style="8" customWidth="1"/>
    <col min="11" max="11" width="4.109375" style="26" customWidth="1"/>
    <col min="12" max="12" width="2.109375" style="26" customWidth="1"/>
    <col min="13" max="13" width="6.6640625" style="26" customWidth="1"/>
    <col min="14" max="14" width="3" style="26" customWidth="1"/>
    <col min="15" max="15" width="9.44140625" style="26" customWidth="1"/>
    <col min="16" max="16" width="2.44140625" style="26" customWidth="1"/>
    <col min="17" max="17" width="5.33203125" style="26" customWidth="1"/>
    <col min="18" max="18" width="6.5546875" style="8" customWidth="1"/>
    <col min="19" max="19" width="9" style="8" customWidth="1"/>
    <col min="20" max="20" width="4.5546875" style="8" customWidth="1"/>
    <col min="21" max="21" width="0.6640625" style="27" customWidth="1"/>
    <col min="22" max="22" width="4.44140625" style="8" hidden="1" customWidth="1"/>
    <col min="23" max="24" width="4.44140625" style="12" hidden="1" customWidth="1"/>
    <col min="25" max="16384" width="4.44140625" style="8" hidden="1"/>
  </cols>
  <sheetData>
    <row r="1" spans="1:24" ht="42" customHeight="1" x14ac:dyDescent="0.6">
      <c r="S1" s="358">
        <v>12</v>
      </c>
    </row>
    <row r="2" spans="1:24" ht="15.75" customHeight="1" x14ac:dyDescent="0.4">
      <c r="C2" s="541" t="s">
        <v>518</v>
      </c>
      <c r="D2" s="541"/>
      <c r="E2" s="8">
        <f>LOOKUP(S1,DATOS!A:A,DATOS!R:R)</f>
        <v>0</v>
      </c>
      <c r="I2" s="533">
        <f>LOOKUP(S1,DATOS!A:A,DATOS!A:A)</f>
        <v>12</v>
      </c>
      <c r="J2" s="533"/>
      <c r="K2" s="8"/>
      <c r="L2" s="8"/>
      <c r="M2" s="9"/>
      <c r="N2" s="9"/>
      <c r="O2" s="441" t="s">
        <v>375</v>
      </c>
      <c r="P2" s="441"/>
      <c r="Q2" s="441"/>
      <c r="R2" s="532" t="str">
        <f>LOOKUP(S1,DATOS!A:A,DATOS!J:J)</f>
        <v>890805 CCH</v>
      </c>
      <c r="S2" s="532"/>
      <c r="T2" s="115"/>
      <c r="U2" s="8"/>
      <c r="W2" s="530" t="s">
        <v>200</v>
      </c>
      <c r="X2" s="530"/>
    </row>
    <row r="3" spans="1:24" ht="12.75" customHeight="1" x14ac:dyDescent="0.3">
      <c r="I3" s="533"/>
      <c r="J3" s="533"/>
      <c r="K3" s="8"/>
      <c r="L3" s="8"/>
      <c r="M3" s="441"/>
      <c r="N3" s="441"/>
      <c r="O3" s="441"/>
      <c r="P3" s="441"/>
      <c r="U3" s="8"/>
      <c r="W3" s="531">
        <f>[5]HEMATO!R1</f>
        <v>53</v>
      </c>
      <c r="X3" s="531"/>
    </row>
    <row r="4" spans="1:24" ht="12.75" customHeight="1" x14ac:dyDescent="0.3">
      <c r="K4" s="8"/>
      <c r="L4" s="8"/>
      <c r="M4" s="8"/>
      <c r="N4" s="8"/>
      <c r="O4" s="441" t="s">
        <v>377</v>
      </c>
      <c r="P4" s="441"/>
      <c r="Q4" s="441"/>
      <c r="R4" s="360">
        <f>LOOKUP(S1,DATOS!A:A,DATOS!K:K)</f>
        <v>50</v>
      </c>
      <c r="S4" s="359" t="s">
        <v>387</v>
      </c>
      <c r="T4" s="357">
        <f>LOOKUP(S1,DATOS!A:A,DATOS!H:H)</f>
        <v>35</v>
      </c>
      <c r="U4" s="8"/>
    </row>
    <row r="5" spans="1:24" ht="12.75" customHeight="1" x14ac:dyDescent="0.3">
      <c r="K5" s="8"/>
      <c r="L5" s="8"/>
      <c r="M5" s="8"/>
      <c r="N5" s="8"/>
      <c r="O5" s="28"/>
      <c r="P5" s="28"/>
      <c r="Q5" s="8"/>
      <c r="R5" s="88"/>
      <c r="U5" s="8"/>
    </row>
    <row r="6" spans="1:24" ht="18.75" customHeight="1" x14ac:dyDescent="0.3">
      <c r="C6" s="436" t="str">
        <f>LOOKUP(S1,DATOS!A:A,DATOS!N:N)</f>
        <v>DRA. CHAMBI</v>
      </c>
      <c r="D6" s="436"/>
      <c r="E6" s="436"/>
      <c r="F6" s="436"/>
      <c r="I6" s="436" t="s">
        <v>156</v>
      </c>
      <c r="J6" s="436"/>
      <c r="K6" s="436"/>
      <c r="L6" s="436"/>
      <c r="M6" s="436"/>
      <c r="N6" s="483" t="str">
        <f>LOOKUP(S1,DATOS!A:A,DATOS!G:G)</f>
        <v>TORREZ VARGAS DELIA</v>
      </c>
      <c r="O6" s="483"/>
      <c r="P6" s="483"/>
      <c r="Q6" s="483"/>
      <c r="R6" s="483"/>
      <c r="S6" s="483"/>
      <c r="U6" s="8"/>
    </row>
    <row r="7" spans="1:24" s="259" customFormat="1" ht="12" customHeight="1" x14ac:dyDescent="0.3">
      <c r="A7" s="254"/>
      <c r="B7" s="255"/>
      <c r="C7" s="512" t="s">
        <v>380</v>
      </c>
      <c r="D7" s="512"/>
      <c r="E7" s="512"/>
      <c r="F7" s="512"/>
      <c r="G7" s="256"/>
      <c r="H7" s="512" t="s">
        <v>379</v>
      </c>
      <c r="I7" s="512"/>
      <c r="J7" s="512"/>
      <c r="K7" s="512"/>
      <c r="L7" s="512"/>
      <c r="M7" s="261"/>
      <c r="N7" s="261"/>
      <c r="O7" s="512" t="s">
        <v>378</v>
      </c>
      <c r="P7" s="512"/>
      <c r="Q7" s="512"/>
      <c r="R7" s="512"/>
      <c r="S7" s="512"/>
    </row>
    <row r="8" spans="1:24" ht="9" customHeight="1" x14ac:dyDescent="0.3">
      <c r="B8" s="503"/>
      <c r="C8" s="503"/>
      <c r="D8" s="503"/>
      <c r="E8" s="503"/>
      <c r="F8" s="503"/>
      <c r="G8" s="503"/>
      <c r="H8" s="81"/>
      <c r="I8" s="503"/>
      <c r="J8" s="503"/>
      <c r="K8" s="503"/>
      <c r="L8" s="503"/>
      <c r="M8" s="503"/>
      <c r="N8" s="81"/>
      <c r="O8" s="503"/>
      <c r="P8" s="503"/>
      <c r="Q8" s="503"/>
      <c r="R8" s="503"/>
      <c r="S8" s="503"/>
      <c r="T8" s="503"/>
      <c r="U8" s="8"/>
    </row>
    <row r="9" spans="1:24" ht="17.25" customHeight="1" x14ac:dyDescent="0.3">
      <c r="C9" s="436" t="str">
        <f>LOOKUP(S1,DATOS!A:A,DATOS!L:L)</f>
        <v>PAISE EL ALTO</v>
      </c>
      <c r="D9" s="436"/>
      <c r="E9" s="436"/>
      <c r="F9" s="436"/>
      <c r="H9" s="535" t="str">
        <f>LOOKUP(S1,DATOS!A:A,DATOS!M:M)</f>
        <v>GINECOLOGIA</v>
      </c>
      <c r="I9" s="535"/>
      <c r="J9" s="535"/>
      <c r="K9" s="8"/>
      <c r="L9" s="38"/>
      <c r="M9" s="539">
        <f>LOOKUP(S1,DATOS!A:A,DATOS!O:O)</f>
        <v>46141</v>
      </c>
      <c r="N9" s="539"/>
      <c r="O9" s="539"/>
      <c r="P9" s="539"/>
      <c r="Q9" s="539"/>
      <c r="R9" s="539"/>
      <c r="S9" s="539"/>
      <c r="U9" s="8"/>
    </row>
    <row r="10" spans="1:24" s="259" customFormat="1" ht="12.75" customHeight="1" x14ac:dyDescent="0.3">
      <c r="A10" s="254"/>
      <c r="C10" s="500" t="s">
        <v>381</v>
      </c>
      <c r="D10" s="500"/>
      <c r="E10" s="500"/>
      <c r="F10" s="500"/>
      <c r="I10" s="500" t="s">
        <v>382</v>
      </c>
      <c r="J10" s="500"/>
      <c r="K10" s="500"/>
      <c r="M10" s="260"/>
      <c r="N10" s="260"/>
      <c r="O10" s="260" t="s">
        <v>383</v>
      </c>
      <c r="P10" s="260"/>
      <c r="Q10" s="260"/>
      <c r="R10" s="257"/>
    </row>
    <row r="11" spans="1:24" ht="22.5" customHeight="1" x14ac:dyDescent="0.3">
      <c r="F11" s="481" t="s">
        <v>422</v>
      </c>
      <c r="G11" s="481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U11" s="8"/>
    </row>
    <row r="12" spans="1:24" ht="11.25" customHeight="1" x14ac:dyDescent="0.3">
      <c r="B12" s="446" t="s">
        <v>389</v>
      </c>
      <c r="C12" s="446"/>
      <c r="D12" s="524">
        <f>LOOKUP(S1,DATOS!A:A,DATOS!CV:CV)</f>
        <v>80</v>
      </c>
      <c r="E12" s="524"/>
      <c r="F12" s="268" t="s">
        <v>390</v>
      </c>
      <c r="G12" s="40"/>
      <c r="H12" s="168"/>
      <c r="I12" s="168" t="s">
        <v>397</v>
      </c>
      <c r="J12" s="538">
        <f>LOOKUP(S1,DATOS!A:A,DATOS!DC:DC)</f>
        <v>1020</v>
      </c>
      <c r="K12" s="538"/>
      <c r="L12" s="542" t="s">
        <v>406</v>
      </c>
      <c r="M12" s="542"/>
      <c r="N12" s="542"/>
      <c r="O12" s="542"/>
      <c r="P12" s="542"/>
      <c r="Q12" s="542"/>
      <c r="R12" s="542"/>
      <c r="S12" s="542"/>
      <c r="T12" s="542"/>
      <c r="U12" s="542"/>
    </row>
    <row r="13" spans="1:24" ht="12.75" customHeight="1" x14ac:dyDescent="0.3">
      <c r="B13" s="446" t="s">
        <v>391</v>
      </c>
      <c r="C13" s="446"/>
      <c r="D13" s="529" t="str">
        <f>LOOKUP(S1,DATOS!A:A,DATOS!CW:CW)</f>
        <v>Amarillo</v>
      </c>
      <c r="E13" s="529"/>
      <c r="F13" s="269"/>
      <c r="G13" s="40"/>
      <c r="H13" s="168"/>
      <c r="I13" s="168" t="s">
        <v>398</v>
      </c>
      <c r="J13" s="543">
        <f>LOOKUP(S1,DATOS!A:A,DATOS!DD:DD)</f>
        <v>6.5</v>
      </c>
      <c r="K13" s="543"/>
      <c r="L13" s="15"/>
      <c r="M13" s="446" t="s">
        <v>413</v>
      </c>
      <c r="N13" s="446"/>
      <c r="O13" s="540" t="str">
        <f>LOOKUP(S1,DATOS!A:A,DATOS!DO:DO)</f>
        <v>7-15XC</v>
      </c>
      <c r="P13" s="540"/>
      <c r="Q13" s="540"/>
      <c r="R13" s="544" t="s">
        <v>414</v>
      </c>
      <c r="S13" s="544"/>
      <c r="T13" s="83"/>
      <c r="U13" s="8"/>
    </row>
    <row r="14" spans="1:24" ht="15" customHeight="1" x14ac:dyDescent="0.3">
      <c r="B14" s="446" t="s">
        <v>392</v>
      </c>
      <c r="C14" s="446"/>
      <c r="D14" s="529" t="str">
        <f>LOOKUP(S1,DATOS!A:A,DATOS!CX:CX)</f>
        <v>Sui Generis</v>
      </c>
      <c r="E14" s="529"/>
      <c r="F14" s="269"/>
      <c r="G14" s="40"/>
      <c r="H14" s="168"/>
      <c r="I14" s="168" t="s">
        <v>399</v>
      </c>
      <c r="J14" s="523" t="str">
        <f>LOOKUP(S1,DATOS!A:A,DATOS!DE:DE)</f>
        <v>No Cont.</v>
      </c>
      <c r="K14" s="523"/>
      <c r="L14" s="15"/>
      <c r="M14" s="446" t="s">
        <v>407</v>
      </c>
      <c r="N14" s="446"/>
      <c r="O14" s="540" t="str">
        <f>LOOKUP(S1,DATOS!A:A,DATOS!DM:DM)</f>
        <v>8-7XC</v>
      </c>
      <c r="P14" s="540"/>
      <c r="Q14" s="540"/>
      <c r="R14" s="168" t="s">
        <v>415</v>
      </c>
      <c r="S14" s="341">
        <f>LOOKUP(S1,DATOS!A:A,DATOS!DT:DT)</f>
        <v>0</v>
      </c>
      <c r="T14" s="80"/>
      <c r="U14" s="8"/>
    </row>
    <row r="15" spans="1:24" ht="12" customHeight="1" x14ac:dyDescent="0.3">
      <c r="B15" s="446" t="s">
        <v>393</v>
      </c>
      <c r="C15" s="446"/>
      <c r="D15" s="525" t="str">
        <f>LOOKUP(S1,DATOS!A:A,DATOS!CY:CY)</f>
        <v>Lig. Opalescente</v>
      </c>
      <c r="E15" s="525"/>
      <c r="F15" s="525"/>
      <c r="G15" s="40"/>
      <c r="H15" s="168"/>
      <c r="I15" s="168" t="s">
        <v>400</v>
      </c>
      <c r="J15" s="523" t="str">
        <f>LOOKUP(S1,DATOS!A:A,DATOS!DF:DF)</f>
        <v>No Cont.</v>
      </c>
      <c r="K15" s="523"/>
      <c r="L15" s="15"/>
      <c r="M15" s="446" t="s">
        <v>408</v>
      </c>
      <c r="N15" s="446"/>
      <c r="O15" s="540">
        <f>LOOKUP(S1,DATOS!A:A,DATOS!DN:DN)</f>
        <v>0</v>
      </c>
      <c r="P15" s="540"/>
      <c r="Q15" s="540"/>
      <c r="R15" s="378" t="s">
        <v>416</v>
      </c>
      <c r="S15" s="342">
        <f>LOOKUP(S1,DATOS!A:A,DATOS!DU:DU)</f>
        <v>0</v>
      </c>
      <c r="T15" s="80"/>
      <c r="U15" s="8"/>
    </row>
    <row r="16" spans="1:24" ht="15" customHeight="1" x14ac:dyDescent="0.3">
      <c r="B16" s="446" t="s">
        <v>394</v>
      </c>
      <c r="C16" s="446"/>
      <c r="D16" s="525" t="str">
        <f>LOOKUP(S1,DATOS!A:A,DATOS!CZ:CZ)</f>
        <v>Fugaz</v>
      </c>
      <c r="E16" s="525"/>
      <c r="F16" s="525"/>
      <c r="G16" s="40"/>
      <c r="H16" s="168"/>
      <c r="I16" s="168" t="s">
        <v>401</v>
      </c>
      <c r="J16" s="523" t="str">
        <f>LOOKUP(S1,DATOS!A:A,DATOS!DG:DG)</f>
        <v>No Cont.</v>
      </c>
      <c r="K16" s="523"/>
      <c r="L16" s="74"/>
      <c r="M16" s="446" t="s">
        <v>409</v>
      </c>
      <c r="N16" s="446"/>
      <c r="O16" s="540" t="str">
        <f>LOOKUP(S1,DATOS!A:A,DATOS!DP:DP)</f>
        <v>AUMENTADAS</v>
      </c>
      <c r="P16" s="540"/>
      <c r="Q16" s="540"/>
      <c r="R16" s="378" t="s">
        <v>417</v>
      </c>
      <c r="S16" s="342">
        <f>LOOKUP(S1,DATOS!A:A,DATOS!DV:DV)</f>
        <v>0</v>
      </c>
      <c r="T16" s="80"/>
      <c r="U16" s="8"/>
    </row>
    <row r="17" spans="2:21" ht="15" customHeight="1" x14ac:dyDescent="0.3">
      <c r="B17" s="446" t="s">
        <v>395</v>
      </c>
      <c r="C17" s="446"/>
      <c r="D17" s="526">
        <f>LOOKUP(S1,DATOS!A:A,DATOS!DA:DA)</f>
        <v>0</v>
      </c>
      <c r="E17" s="526"/>
      <c r="F17" s="526"/>
      <c r="G17" s="40"/>
      <c r="H17" s="168"/>
      <c r="I17" s="168" t="s">
        <v>402</v>
      </c>
      <c r="J17" s="523" t="str">
        <f>LOOKUP(S1,DATOS!A:A,DATOS!DH:DH)</f>
        <v>No Cont.</v>
      </c>
      <c r="K17" s="523"/>
      <c r="L17" s="84"/>
      <c r="M17" s="446" t="s">
        <v>410</v>
      </c>
      <c r="N17" s="446"/>
      <c r="O17" s="540" t="str">
        <f>LOOKUP(S1,DATOS!A:A,DATOS!DQ:DQ)</f>
        <v>0-1XC</v>
      </c>
      <c r="P17" s="540"/>
      <c r="Q17" s="540"/>
      <c r="R17" s="378" t="s">
        <v>418</v>
      </c>
      <c r="S17" s="342"/>
      <c r="T17" s="80"/>
      <c r="U17" s="8"/>
    </row>
    <row r="18" spans="2:21" ht="16.5" customHeight="1" x14ac:dyDescent="0.3">
      <c r="B18" s="536" t="s">
        <v>396</v>
      </c>
      <c r="C18" s="536"/>
      <c r="D18" s="529">
        <f>LOOKUP(S1,DATOS!A:A,DATOS!DB:DB)</f>
        <v>0</v>
      </c>
      <c r="E18" s="529"/>
      <c r="F18" s="529"/>
      <c r="G18" s="40"/>
      <c r="H18" s="168"/>
      <c r="I18" s="168" t="s">
        <v>403</v>
      </c>
      <c r="J18" s="523" t="str">
        <f>LOOKUP(S1,DATOS!A:A,DATOS!DI:DI)</f>
        <v>No Cont.</v>
      </c>
      <c r="K18" s="523"/>
      <c r="L18" s="15"/>
      <c r="M18" s="446" t="s">
        <v>421</v>
      </c>
      <c r="N18" s="446"/>
      <c r="O18" s="540">
        <f>LOOKUP(S1,DATOS!A:A,DATOS!DR:DR)</f>
        <v>0</v>
      </c>
      <c r="P18" s="540"/>
      <c r="Q18" s="540"/>
      <c r="R18" s="168" t="s">
        <v>419</v>
      </c>
      <c r="S18" s="342">
        <f>LOOKUP(S1,DATOS!A:A,DATOS!DW:DW)</f>
        <v>0</v>
      </c>
      <c r="T18" s="80"/>
      <c r="U18" s="8"/>
    </row>
    <row r="19" spans="2:21" ht="12.75" customHeight="1" x14ac:dyDescent="0.3">
      <c r="B19" s="85"/>
      <c r="C19" s="85"/>
      <c r="D19" s="85"/>
      <c r="E19" s="85"/>
      <c r="F19" s="7"/>
      <c r="G19" s="40"/>
      <c r="H19" s="168"/>
      <c r="I19" s="168" t="s">
        <v>404</v>
      </c>
      <c r="J19" s="523" t="str">
        <f>LOOKUP(S1,DATOS!A:A,DATOS!DJ:DJ)</f>
        <v>Normal</v>
      </c>
      <c r="K19" s="523"/>
      <c r="L19" s="7"/>
      <c r="M19" s="446" t="s">
        <v>411</v>
      </c>
      <c r="N19" s="446"/>
      <c r="O19" s="522">
        <f>LOOKUP(S1,DATOS!A:A,DATOS!DL:DL)</f>
        <v>0</v>
      </c>
      <c r="P19" s="522"/>
      <c r="Q19" s="522"/>
      <c r="R19" s="60"/>
      <c r="S19" s="83"/>
      <c r="T19" s="80"/>
      <c r="U19" s="8"/>
    </row>
    <row r="20" spans="2:21" ht="14.25" customHeight="1" x14ac:dyDescent="0.3">
      <c r="B20" s="85"/>
      <c r="C20" s="85"/>
      <c r="D20" s="85"/>
      <c r="E20" s="85"/>
      <c r="F20" s="7"/>
      <c r="G20" s="40"/>
      <c r="H20" s="168"/>
      <c r="I20" s="168" t="s">
        <v>405</v>
      </c>
      <c r="J20" s="523" t="str">
        <f>LOOKUP(S1,DATOS!A:A,DATOS!DK:DK)</f>
        <v>Negativo</v>
      </c>
      <c r="K20" s="523"/>
      <c r="L20" s="7"/>
      <c r="M20" s="446" t="s">
        <v>412</v>
      </c>
      <c r="N20" s="446"/>
      <c r="O20" s="522">
        <f>LOOKUP(S1,DATOS!A:A,DATOS!DS:DS)</f>
        <v>0</v>
      </c>
      <c r="P20" s="522"/>
      <c r="Q20" s="522"/>
      <c r="R20" s="522"/>
      <c r="S20" s="522"/>
      <c r="T20" s="522"/>
      <c r="U20" s="8"/>
    </row>
    <row r="21" spans="2:21" ht="5.25" customHeight="1" x14ac:dyDescent="0.3">
      <c r="C21" s="7"/>
      <c r="D21" s="82"/>
      <c r="E21" s="7"/>
      <c r="F21" s="7"/>
      <c r="G21" s="7"/>
      <c r="H21" s="15"/>
      <c r="I21" s="82"/>
      <c r="J21" s="7"/>
      <c r="K21" s="7"/>
      <c r="L21" s="86"/>
      <c r="M21" s="456"/>
      <c r="N21" s="456"/>
      <c r="O21" s="15"/>
      <c r="P21" s="15"/>
      <c r="Q21" s="7"/>
      <c r="R21" s="60"/>
      <c r="S21" s="60"/>
      <c r="T21" s="80"/>
      <c r="U21" s="8"/>
    </row>
    <row r="22" spans="2:21" ht="14.25" customHeight="1" x14ac:dyDescent="0.3">
      <c r="B22" s="527" t="s">
        <v>420</v>
      </c>
      <c r="C22" s="527"/>
      <c r="D22" s="527"/>
      <c r="E22" s="527"/>
      <c r="F22" s="527"/>
      <c r="G22" s="538">
        <f>LOOKUP(S1,DATOS!A:A,DATOS!DX:DX)</f>
        <v>0</v>
      </c>
      <c r="H22" s="538"/>
      <c r="I22" s="538"/>
      <c r="J22" s="538"/>
      <c r="K22" s="538"/>
      <c r="L22" s="538"/>
      <c r="M22" s="538"/>
      <c r="N22" s="538"/>
      <c r="O22" s="538"/>
      <c r="P22" s="538"/>
      <c r="Q22" s="538"/>
      <c r="R22" s="538"/>
      <c r="S22" s="538"/>
      <c r="T22" s="80"/>
      <c r="U22" s="8"/>
    </row>
    <row r="23" spans="2:21" ht="15.75" customHeight="1" x14ac:dyDescent="0.3">
      <c r="B23" s="527" t="s">
        <v>423</v>
      </c>
      <c r="C23" s="527"/>
      <c r="D23" s="527"/>
      <c r="E23" s="527"/>
      <c r="F23" s="527"/>
      <c r="G23" s="528">
        <f>LOOKUP(S1,DATOS!A:A,DATOS!DY:DY)</f>
        <v>0</v>
      </c>
      <c r="H23" s="528"/>
      <c r="I23" s="528"/>
      <c r="J23" s="528"/>
      <c r="K23" s="528"/>
      <c r="L23" s="528"/>
      <c r="M23" s="528"/>
      <c r="N23" s="528"/>
      <c r="O23" s="528"/>
      <c r="P23" s="528"/>
      <c r="Q23" s="528"/>
      <c r="R23" s="528"/>
      <c r="S23" s="528"/>
      <c r="T23" s="80"/>
      <c r="U23" s="8"/>
    </row>
    <row r="24" spans="2:21" ht="15" customHeight="1" x14ac:dyDescent="0.3">
      <c r="B24" s="527" t="s">
        <v>424</v>
      </c>
      <c r="C24" s="527"/>
      <c r="D24" s="527"/>
      <c r="E24" s="527"/>
      <c r="F24" s="527"/>
      <c r="G24" s="528">
        <f>LOOKUP(S1,DATOS!A:A,DATOS!DZ:DZ)</f>
        <v>0</v>
      </c>
      <c r="H24" s="528"/>
      <c r="I24" s="528"/>
      <c r="J24" s="528"/>
      <c r="K24" s="528"/>
      <c r="L24" s="528"/>
      <c r="M24" s="528"/>
      <c r="N24" s="528"/>
      <c r="O24" s="528"/>
      <c r="P24" s="528"/>
      <c r="Q24" s="528"/>
      <c r="R24" s="528"/>
      <c r="S24" s="528"/>
      <c r="U24" s="8"/>
    </row>
    <row r="25" spans="2:21" ht="18.75" customHeight="1" x14ac:dyDescent="0.3">
      <c r="B25" s="62" t="s">
        <v>261</v>
      </c>
      <c r="C25" s="62"/>
      <c r="D25" s="62"/>
      <c r="E25" s="62"/>
      <c r="F25" s="441" t="s">
        <v>385</v>
      </c>
      <c r="G25" s="441"/>
      <c r="H25" s="441"/>
      <c r="I25" s="441"/>
      <c r="J25" s="537">
        <f>LOOKUP(S1,DATOS!A:A,DATOS!P:P)</f>
        <v>46156</v>
      </c>
      <c r="K25" s="537"/>
      <c r="L25" s="537"/>
      <c r="M25" s="537"/>
      <c r="N25" s="537"/>
      <c r="O25" s="537"/>
      <c r="P25" s="537"/>
      <c r="Q25" s="537"/>
      <c r="R25" s="43" t="s">
        <v>169</v>
      </c>
      <c r="S25" s="534">
        <f ca="1">NOW()</f>
        <v>46197.396101620368</v>
      </c>
      <c r="T25" s="534"/>
      <c r="U25" s="8"/>
    </row>
    <row r="26" spans="2:21" ht="12.75" hidden="1" customHeight="1" x14ac:dyDescent="0.3">
      <c r="U26" s="8"/>
    </row>
    <row r="27" spans="2:21" ht="12.75" hidden="1" customHeight="1" x14ac:dyDescent="0.3">
      <c r="U27" s="8"/>
    </row>
    <row r="28" spans="2:21" ht="12.75" hidden="1" customHeight="1" x14ac:dyDescent="0.3">
      <c r="U28" s="8"/>
    </row>
    <row r="29" spans="2:21" ht="12.75" hidden="1" customHeight="1" x14ac:dyDescent="0.3">
      <c r="U29" s="8"/>
    </row>
    <row r="30" spans="2:21" ht="12.75" hidden="1" customHeight="1" x14ac:dyDescent="0.3">
      <c r="U30" s="8"/>
    </row>
  </sheetData>
  <sheetProtection sheet="1" objects="1" scenarios="1" selectLockedCells="1"/>
  <mergeCells count="74">
    <mergeCell ref="I10:K10"/>
    <mergeCell ref="C2:D2"/>
    <mergeCell ref="O14:Q14"/>
    <mergeCell ref="O15:Q15"/>
    <mergeCell ref="F11:Q11"/>
    <mergeCell ref="L12:U12"/>
    <mergeCell ref="J13:K13"/>
    <mergeCell ref="J12:K12"/>
    <mergeCell ref="M13:N13"/>
    <mergeCell ref="R13:S13"/>
    <mergeCell ref="O13:Q13"/>
    <mergeCell ref="O16:Q16"/>
    <mergeCell ref="O17:Q17"/>
    <mergeCell ref="D18:F18"/>
    <mergeCell ref="M18:N18"/>
    <mergeCell ref="O18:Q18"/>
    <mergeCell ref="S25:T25"/>
    <mergeCell ref="H9:J9"/>
    <mergeCell ref="B18:C18"/>
    <mergeCell ref="J25:Q25"/>
    <mergeCell ref="B17:C17"/>
    <mergeCell ref="B14:C14"/>
    <mergeCell ref="D14:E14"/>
    <mergeCell ref="B15:C15"/>
    <mergeCell ref="B16:C16"/>
    <mergeCell ref="G22:S22"/>
    <mergeCell ref="M9:S9"/>
    <mergeCell ref="J15:K15"/>
    <mergeCell ref="J14:K14"/>
    <mergeCell ref="M14:N14"/>
    <mergeCell ref="C10:F10"/>
    <mergeCell ref="C9:F9"/>
    <mergeCell ref="W2:X2"/>
    <mergeCell ref="M3:P3"/>
    <mergeCell ref="W3:X3"/>
    <mergeCell ref="B8:G8"/>
    <mergeCell ref="I8:M8"/>
    <mergeCell ref="O8:T8"/>
    <mergeCell ref="C6:F6"/>
    <mergeCell ref="I6:M6"/>
    <mergeCell ref="N6:S6"/>
    <mergeCell ref="R2:S2"/>
    <mergeCell ref="O2:Q2"/>
    <mergeCell ref="I2:J3"/>
    <mergeCell ref="O7:S7"/>
    <mergeCell ref="C7:F7"/>
    <mergeCell ref="H7:L7"/>
    <mergeCell ref="O4:Q4"/>
    <mergeCell ref="F25:I25"/>
    <mergeCell ref="D12:E12"/>
    <mergeCell ref="B12:C12"/>
    <mergeCell ref="D16:F16"/>
    <mergeCell ref="D17:F17"/>
    <mergeCell ref="B22:F22"/>
    <mergeCell ref="B23:F23"/>
    <mergeCell ref="B24:F24"/>
    <mergeCell ref="G23:S23"/>
    <mergeCell ref="G24:S24"/>
    <mergeCell ref="D15:F15"/>
    <mergeCell ref="B13:C13"/>
    <mergeCell ref="D13:E13"/>
    <mergeCell ref="M15:N15"/>
    <mergeCell ref="M16:N16"/>
    <mergeCell ref="M17:N17"/>
    <mergeCell ref="J19:K19"/>
    <mergeCell ref="J20:K20"/>
    <mergeCell ref="J18:K18"/>
    <mergeCell ref="J17:K17"/>
    <mergeCell ref="J16:K16"/>
    <mergeCell ref="M19:N19"/>
    <mergeCell ref="M20:N20"/>
    <mergeCell ref="M21:N21"/>
    <mergeCell ref="O19:Q19"/>
    <mergeCell ref="O20:T20"/>
  </mergeCells>
  <pageMargins left="0.23622047244094491" right="0.23622047244094491" top="0.47244094488188981" bottom="0.74803149606299213" header="0.31496062992125984" footer="0.31496062992125984"/>
  <pageSetup paperSize="9" orientation="portrait" blackAndWhite="1" horizontalDpi="180" verticalDpi="18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S33"/>
  <sheetViews>
    <sheetView showGridLines="0" zoomScale="130" zoomScaleNormal="130" workbookViewId="0">
      <selection activeCell="Q1" sqref="Q1:R1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6.44140625" style="8" customWidth="1"/>
    <col min="7" max="7" width="7.33203125" style="8" customWidth="1"/>
    <col min="8" max="8" width="7.6640625" style="8" customWidth="1"/>
    <col min="9" max="9" width="4.109375" style="8" customWidth="1"/>
    <col min="10" max="10" width="4.44140625" style="8" customWidth="1"/>
    <col min="11" max="11" width="7.33203125" style="8" customWidth="1"/>
    <col min="12" max="13" width="4.44140625" style="8" customWidth="1"/>
    <col min="14" max="14" width="5.5546875" style="8" customWidth="1"/>
    <col min="15" max="15" width="5.88671875" style="8" customWidth="1"/>
    <col min="16" max="16" width="7.6640625" style="8" customWidth="1"/>
    <col min="17" max="17" width="7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9" ht="51.75" customHeight="1" x14ac:dyDescent="0.85">
      <c r="A1" s="11"/>
      <c r="Q1" s="484">
        <v>12</v>
      </c>
      <c r="R1" s="484"/>
    </row>
    <row r="2" spans="1:19" ht="19.5" customHeight="1" x14ac:dyDescent="0.3">
      <c r="A2" s="11"/>
      <c r="B2" s="7"/>
      <c r="C2" s="7">
        <f>LOOKUP(Q1,DATOS!A:A,DATOS!R:R)</f>
        <v>0</v>
      </c>
      <c r="D2" s="7"/>
      <c r="E2" s="7"/>
      <c r="F2" s="7"/>
      <c r="G2" s="7"/>
      <c r="H2" s="7"/>
      <c r="I2" s="7"/>
      <c r="J2" s="438">
        <f>LOOKUP(Q1,DATOS!A:A,DATOS!B:B)</f>
        <v>12</v>
      </c>
      <c r="K2" s="438"/>
      <c r="L2" s="7"/>
      <c r="M2" s="441" t="s">
        <v>375</v>
      </c>
      <c r="N2" s="441"/>
      <c r="O2" s="441"/>
      <c r="P2" s="545" t="str">
        <f>LOOKUP(Q1,DATOS!A:A,DATOS!J:J)</f>
        <v>890805 CCH</v>
      </c>
      <c r="Q2" s="545"/>
      <c r="R2" s="545"/>
    </row>
    <row r="3" spans="1:19" ht="27" customHeight="1" x14ac:dyDescent="0.3">
      <c r="A3" s="11"/>
      <c r="B3" s="7"/>
      <c r="C3" s="7"/>
      <c r="D3" s="7"/>
      <c r="E3" s="7"/>
      <c r="F3" s="7"/>
      <c r="G3" s="7"/>
      <c r="H3" s="7"/>
      <c r="I3" s="7"/>
      <c r="J3" s="438"/>
      <c r="K3" s="438"/>
      <c r="L3" s="7"/>
      <c r="M3" s="9"/>
      <c r="N3" s="440" t="s">
        <v>377</v>
      </c>
      <c r="O3" s="440"/>
      <c r="P3" s="271">
        <f>LOOKUP(Q1,DATOS!A:A,DATOS!K:K)</f>
        <v>50</v>
      </c>
      <c r="Q3" s="338" t="s">
        <v>387</v>
      </c>
      <c r="R3" s="271">
        <f>LOOKUP(Q1,DATOS!A:A,DATOS!H:H)</f>
        <v>35</v>
      </c>
    </row>
    <row r="4" spans="1:19" ht="12" customHeight="1" x14ac:dyDescent="0.3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28"/>
    </row>
    <row r="5" spans="1:19" ht="13.5" customHeight="1" x14ac:dyDescent="0.3">
      <c r="A5" s="1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49"/>
      <c r="R5" s="28"/>
    </row>
    <row r="6" spans="1:19" ht="16.5" customHeight="1" x14ac:dyDescent="0.35">
      <c r="A6" s="11"/>
      <c r="B6" s="7"/>
      <c r="C6" s="436" t="str">
        <f>LOOKUP(Q1,DATOS!A:A,DATOS!N:N)</f>
        <v>DRA. CHAMBI</v>
      </c>
      <c r="D6" s="436"/>
      <c r="E6" s="436"/>
      <c r="F6" s="436"/>
      <c r="G6" s="7"/>
      <c r="H6" s="436" t="s">
        <v>156</v>
      </c>
      <c r="I6" s="436"/>
      <c r="J6" s="436"/>
      <c r="K6" s="436"/>
      <c r="L6" s="490" t="str">
        <f>LOOKUP(Q1,DATOS!A:A,DATOS!G:G)</f>
        <v>TORREZ VARGAS DELIA</v>
      </c>
      <c r="M6" s="490"/>
      <c r="N6" s="490"/>
      <c r="O6" s="490"/>
      <c r="P6" s="490"/>
      <c r="Q6" s="490"/>
      <c r="R6" s="490"/>
    </row>
    <row r="7" spans="1:19" s="259" customFormat="1" ht="12" customHeight="1" x14ac:dyDescent="0.3">
      <c r="A7" s="254"/>
      <c r="B7" s="255"/>
      <c r="C7" s="512" t="s">
        <v>380</v>
      </c>
      <c r="D7" s="512"/>
      <c r="E7" s="512"/>
      <c r="F7" s="512"/>
      <c r="G7" s="256"/>
      <c r="H7" s="512" t="s">
        <v>379</v>
      </c>
      <c r="I7" s="512"/>
      <c r="J7" s="512"/>
      <c r="K7" s="257"/>
      <c r="L7" s="513" t="s">
        <v>378</v>
      </c>
      <c r="M7" s="513"/>
      <c r="N7" s="513"/>
      <c r="O7" s="513"/>
      <c r="P7" s="513"/>
      <c r="Q7" s="513"/>
      <c r="R7" s="258"/>
    </row>
    <row r="8" spans="1:19" ht="10.5" customHeight="1" x14ac:dyDescent="0.3">
      <c r="A8" s="11"/>
      <c r="B8" s="15"/>
      <c r="C8" s="503"/>
      <c r="D8" s="503"/>
      <c r="E8" s="503"/>
      <c r="F8" s="503"/>
      <c r="G8" s="18"/>
      <c r="H8" s="503"/>
      <c r="I8" s="503"/>
      <c r="J8" s="503"/>
      <c r="K8" s="7"/>
      <c r="L8" s="503"/>
      <c r="M8" s="503"/>
      <c r="N8" s="503"/>
      <c r="O8" s="503"/>
      <c r="P8" s="503"/>
      <c r="Q8" s="503"/>
      <c r="R8" s="14"/>
    </row>
    <row r="9" spans="1:19" ht="24.75" customHeight="1" x14ac:dyDescent="0.3">
      <c r="A9" s="11"/>
      <c r="B9" s="7"/>
      <c r="C9" s="436" t="str">
        <f>LOOKUP(Q1,DATOS!A:A,DATOS!L:L)</f>
        <v>PAISE EL ALTO</v>
      </c>
      <c r="D9" s="436"/>
      <c r="E9" s="436"/>
      <c r="F9" s="31"/>
      <c r="G9" s="479" t="str">
        <f>LOOKUP(Q1,DATOS!A:A,DATOS!M:M)</f>
        <v>GINECOLOGIA</v>
      </c>
      <c r="H9" s="479"/>
      <c r="I9" s="479"/>
      <c r="J9" s="19"/>
      <c r="K9" s="7"/>
      <c r="L9" s="480">
        <f>LOOKUP(Q1,DATOS!A:A,DATOS!O:O)</f>
        <v>46141</v>
      </c>
      <c r="M9" s="480"/>
      <c r="N9" s="480"/>
      <c r="O9" s="480"/>
      <c r="P9" s="480"/>
      <c r="Q9" s="480"/>
      <c r="R9" s="38"/>
    </row>
    <row r="10" spans="1:19" ht="12.75" customHeight="1" x14ac:dyDescent="0.3">
      <c r="A10" s="11"/>
      <c r="B10" s="259"/>
      <c r="C10" s="500" t="s">
        <v>381</v>
      </c>
      <c r="D10" s="500"/>
      <c r="E10" s="500"/>
      <c r="F10" s="500"/>
      <c r="G10" s="500" t="s">
        <v>382</v>
      </c>
      <c r="H10" s="500"/>
      <c r="I10" s="500"/>
      <c r="J10" s="500"/>
      <c r="K10" s="500"/>
      <c r="L10" s="500" t="s">
        <v>383</v>
      </c>
      <c r="M10" s="500"/>
      <c r="N10" s="500"/>
      <c r="O10" s="500"/>
      <c r="P10" s="500"/>
      <c r="Q10" s="500"/>
      <c r="R10" s="257"/>
    </row>
    <row r="11" spans="1:19" ht="10.5" customHeight="1" x14ac:dyDescent="0.3">
      <c r="A11" s="11"/>
      <c r="C11" s="28"/>
      <c r="D11" s="9"/>
      <c r="E11" s="7"/>
      <c r="F11" s="7"/>
      <c r="G11" s="7"/>
      <c r="H11" s="7"/>
      <c r="I11" s="7"/>
      <c r="J11" s="7"/>
      <c r="K11" s="7"/>
      <c r="L11" s="440"/>
      <c r="M11" s="440"/>
      <c r="N11" s="440"/>
      <c r="O11" s="440"/>
      <c r="P11" s="440"/>
      <c r="Q11" s="440"/>
      <c r="R11" s="7"/>
    </row>
    <row r="12" spans="1:19" ht="33" customHeight="1" x14ac:dyDescent="0.3">
      <c r="A12" s="11"/>
      <c r="B12" s="7"/>
      <c r="C12" s="7"/>
      <c r="D12" s="7"/>
      <c r="E12" s="7"/>
      <c r="F12" s="7"/>
      <c r="G12" s="7"/>
      <c r="H12" s="481"/>
      <c r="I12" s="481"/>
      <c r="J12" s="481"/>
      <c r="K12" s="481"/>
      <c r="L12" s="481"/>
      <c r="M12" s="7"/>
      <c r="N12" s="7"/>
      <c r="O12" s="7"/>
      <c r="P12" s="7"/>
      <c r="Q12" s="7"/>
      <c r="R12" s="7"/>
    </row>
    <row r="13" spans="1:19" ht="15.75" customHeight="1" x14ac:dyDescent="0.3">
      <c r="A13" s="11"/>
      <c r="C13" s="7"/>
      <c r="D13" s="49"/>
      <c r="E13" s="73"/>
      <c r="F13" s="73"/>
      <c r="G13" s="548" t="s">
        <v>106</v>
      </c>
      <c r="H13" s="548"/>
      <c r="I13" s="548"/>
      <c r="J13" s="548"/>
      <c r="K13" s="548"/>
      <c r="L13" s="548"/>
      <c r="M13" s="548"/>
      <c r="N13" s="548"/>
      <c r="O13" s="74"/>
      <c r="P13" s="74"/>
      <c r="Q13" s="15"/>
      <c r="R13" s="15"/>
      <c r="S13" s="7"/>
    </row>
    <row r="14" spans="1:19" ht="15" customHeight="1" x14ac:dyDescent="0.3">
      <c r="A14" s="11"/>
      <c r="C14" s="7"/>
      <c r="D14" s="49"/>
      <c r="E14" s="73"/>
      <c r="F14" s="73"/>
      <c r="G14" s="7"/>
      <c r="H14" s="7"/>
      <c r="I14" s="7"/>
      <c r="J14" s="7"/>
      <c r="K14" s="7"/>
      <c r="L14" s="7"/>
      <c r="M14" s="67"/>
      <c r="N14" s="74"/>
      <c r="O14" s="74"/>
      <c r="P14" s="74"/>
      <c r="Q14" s="15"/>
      <c r="S14" s="7"/>
    </row>
    <row r="15" spans="1:19" ht="15" customHeight="1" x14ac:dyDescent="0.3">
      <c r="A15" s="11"/>
      <c r="C15" s="7"/>
      <c r="D15" s="49"/>
      <c r="E15" s="73"/>
      <c r="F15" s="75"/>
      <c r="G15" s="69"/>
      <c r="H15" s="370"/>
      <c r="I15" s="546" t="s">
        <v>194</v>
      </c>
      <c r="J15" s="546"/>
      <c r="K15" s="546" t="s">
        <v>197</v>
      </c>
      <c r="L15" s="546"/>
      <c r="M15" s="546"/>
      <c r="N15" s="547"/>
      <c r="O15" s="74"/>
      <c r="P15" s="74"/>
      <c r="Q15" s="68"/>
      <c r="S15" s="7"/>
    </row>
    <row r="16" spans="1:19" ht="16.5" customHeight="1" x14ac:dyDescent="0.3">
      <c r="A16" s="11"/>
      <c r="C16" s="7"/>
      <c r="D16" s="49"/>
      <c r="E16" s="73"/>
      <c r="F16" s="75"/>
      <c r="H16" s="371" t="s">
        <v>107</v>
      </c>
      <c r="I16" s="551">
        <f>LOOKUP(Q1,DATOS!A:A,DATOS!EZ:EZ)</f>
        <v>0</v>
      </c>
      <c r="J16" s="551"/>
      <c r="K16" s="549">
        <f>LOOKUP(Q1,DATOS!A:A,DATOS!EY:EY)</f>
        <v>0</v>
      </c>
      <c r="L16" s="549"/>
      <c r="M16" s="372" t="s">
        <v>114</v>
      </c>
      <c r="N16" s="373"/>
      <c r="O16" s="74"/>
      <c r="P16" s="74"/>
      <c r="Q16" s="68"/>
      <c r="S16" s="7"/>
    </row>
    <row r="17" spans="1:19" ht="15" customHeight="1" x14ac:dyDescent="0.3">
      <c r="A17" s="11"/>
      <c r="B17" s="7"/>
      <c r="C17" s="69"/>
      <c r="D17" s="76"/>
      <c r="E17" s="76"/>
      <c r="F17" s="76"/>
      <c r="H17" s="374" t="s">
        <v>195</v>
      </c>
      <c r="I17" s="551">
        <f>LOOKUP(Q1,DATOS!A:A,DATOS!FB:FB)</f>
        <v>0</v>
      </c>
      <c r="J17" s="551">
        <v>0.3923611111111111</v>
      </c>
      <c r="K17" s="549">
        <f>LOOKUP(Q1,DATOS!A:A,DATOS!FA:FA)</f>
        <v>0</v>
      </c>
      <c r="L17" s="549"/>
      <c r="M17" s="372" t="s">
        <v>114</v>
      </c>
      <c r="N17" s="373"/>
      <c r="O17" s="74"/>
      <c r="P17" s="74"/>
      <c r="Q17" s="15"/>
      <c r="R17" s="70"/>
      <c r="S17" s="20"/>
    </row>
    <row r="18" spans="1:19" ht="15.75" customHeight="1" x14ac:dyDescent="0.3">
      <c r="A18" s="11"/>
      <c r="B18" s="7"/>
      <c r="C18" s="71"/>
      <c r="D18" s="49"/>
      <c r="E18" s="59"/>
      <c r="F18" s="77"/>
      <c r="H18" s="375" t="s">
        <v>196</v>
      </c>
      <c r="I18" s="552">
        <f>LOOKUP(Q1,DATOS!A:A,DATOS!FD:FD)</f>
        <v>0</v>
      </c>
      <c r="J18" s="552">
        <v>0.43402777777777773</v>
      </c>
      <c r="K18" s="550">
        <f>LOOKUP(Q1,DATOS!A:A,DATOS!FC:FC)</f>
        <v>0</v>
      </c>
      <c r="L18" s="550"/>
      <c r="M18" s="376" t="s">
        <v>114</v>
      </c>
      <c r="N18" s="377"/>
      <c r="O18" s="74"/>
      <c r="P18" s="74"/>
      <c r="Q18" s="7"/>
      <c r="R18" s="15"/>
      <c r="S18" s="7"/>
    </row>
    <row r="19" spans="1:19" ht="18" customHeight="1" x14ac:dyDescent="0.3">
      <c r="A19" s="11"/>
      <c r="B19" s="7"/>
      <c r="C19" s="7"/>
      <c r="D19" s="49"/>
      <c r="E19" s="59"/>
      <c r="F19" s="77"/>
      <c r="G19" s="77"/>
      <c r="H19" s="69"/>
      <c r="I19" s="69"/>
      <c r="J19" s="69"/>
      <c r="K19" s="69"/>
      <c r="L19" s="69"/>
      <c r="M19" s="78"/>
      <c r="N19" s="72"/>
      <c r="O19" s="72"/>
      <c r="Q19" s="7"/>
      <c r="S19" s="7"/>
    </row>
    <row r="20" spans="1:19" ht="10.5" customHeight="1" x14ac:dyDescent="0.3">
      <c r="A20" s="11"/>
      <c r="B20" s="7"/>
      <c r="C20" s="7"/>
      <c r="D20" s="49"/>
      <c r="E20" s="59"/>
      <c r="F20" s="59"/>
      <c r="G20" s="59"/>
      <c r="H20" s="7"/>
      <c r="I20" s="7"/>
      <c r="J20" s="7"/>
      <c r="K20" s="7"/>
      <c r="L20" s="7"/>
      <c r="M20" s="49"/>
      <c r="N20" s="72"/>
      <c r="O20" s="72"/>
      <c r="P20" s="40"/>
      <c r="Q20" s="44"/>
      <c r="R20" s="7"/>
    </row>
    <row r="21" spans="1:19" ht="14.4" x14ac:dyDescent="0.3">
      <c r="A21" s="11"/>
      <c r="B21" s="7"/>
      <c r="C21" s="7"/>
      <c r="D21" s="49"/>
      <c r="E21" s="59"/>
      <c r="F21" s="59"/>
      <c r="G21" s="59"/>
      <c r="H21" s="65"/>
      <c r="I21" s="65"/>
      <c r="J21" s="65"/>
      <c r="K21" s="7"/>
      <c r="L21" s="7"/>
      <c r="M21" s="60"/>
      <c r="N21" s="57"/>
      <c r="O21" s="7"/>
      <c r="P21" s="7"/>
      <c r="Q21" s="7"/>
      <c r="R21" s="7"/>
    </row>
    <row r="22" spans="1:19" ht="5.25" customHeight="1" x14ac:dyDescent="0.3">
      <c r="A22" s="11"/>
      <c r="B22" s="7"/>
      <c r="C22" s="7"/>
      <c r="D22" s="53"/>
      <c r="E22" s="7"/>
      <c r="F22" s="7"/>
      <c r="G22" s="7"/>
      <c r="H22" s="15"/>
      <c r="I22" s="57"/>
      <c r="J22" s="7"/>
      <c r="K22" s="7"/>
      <c r="L22" s="7"/>
      <c r="M22" s="7"/>
      <c r="N22" s="57"/>
      <c r="O22" s="7"/>
      <c r="P22" s="7"/>
      <c r="Q22" s="7"/>
      <c r="R22" s="7"/>
    </row>
    <row r="23" spans="1:19" ht="14.4" x14ac:dyDescent="0.3">
      <c r="A23" s="11"/>
      <c r="B23" s="62" t="s">
        <v>261</v>
      </c>
      <c r="C23" s="9"/>
      <c r="D23" s="9"/>
      <c r="E23" s="9"/>
      <c r="F23" s="9"/>
      <c r="G23" s="441" t="s">
        <v>385</v>
      </c>
      <c r="H23" s="441"/>
      <c r="I23" s="471">
        <f>LOOKUP(Q1,DATOS!A:A,DATOS!P:P)</f>
        <v>46156</v>
      </c>
      <c r="J23" s="471"/>
      <c r="K23" s="471"/>
      <c r="L23" s="471"/>
      <c r="M23" s="471"/>
      <c r="N23" s="471"/>
      <c r="O23" s="471"/>
      <c r="P23" s="9" t="s">
        <v>169</v>
      </c>
      <c r="Q23" s="472">
        <f ca="1">NOW()</f>
        <v>46197.396101620368</v>
      </c>
      <c r="R23" s="472"/>
    </row>
    <row r="32" spans="1:19" ht="12.75" customHeight="1" x14ac:dyDescent="0.3"/>
    <row r="33" ht="12.75" customHeight="1" x14ac:dyDescent="0.3"/>
  </sheetData>
  <sheetProtection sheet="1" objects="1" scenarios="1" selectLockedCells="1"/>
  <mergeCells count="34">
    <mergeCell ref="I23:O23"/>
    <mergeCell ref="K15:N15"/>
    <mergeCell ref="L11:Q11"/>
    <mergeCell ref="H12:L12"/>
    <mergeCell ref="Q23:R23"/>
    <mergeCell ref="G13:N13"/>
    <mergeCell ref="K16:L16"/>
    <mergeCell ref="K17:L17"/>
    <mergeCell ref="K18:L18"/>
    <mergeCell ref="I16:J16"/>
    <mergeCell ref="I17:J17"/>
    <mergeCell ref="I18:J18"/>
    <mergeCell ref="I15:J15"/>
    <mergeCell ref="G23:H23"/>
    <mergeCell ref="Q1:R1"/>
    <mergeCell ref="M2:O2"/>
    <mergeCell ref="P2:R2"/>
    <mergeCell ref="C6:F6"/>
    <mergeCell ref="H6:K6"/>
    <mergeCell ref="L6:R6"/>
    <mergeCell ref="J2:K3"/>
    <mergeCell ref="N3:O3"/>
    <mergeCell ref="C7:F7"/>
    <mergeCell ref="H7:J7"/>
    <mergeCell ref="L7:Q7"/>
    <mergeCell ref="C10:F10"/>
    <mergeCell ref="L10:Q10"/>
    <mergeCell ref="C8:F8"/>
    <mergeCell ref="H8:J8"/>
    <mergeCell ref="L8:Q8"/>
    <mergeCell ref="C9:E9"/>
    <mergeCell ref="G9:I9"/>
    <mergeCell ref="L9:Q9"/>
    <mergeCell ref="G10:K10"/>
  </mergeCells>
  <pageMargins left="0.27559055118110237" right="0.19685039370078741" top="0.43307086614173229" bottom="0.98425196850393704" header="0" footer="0"/>
  <pageSetup orientation="portrait" blackAndWhite="1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FF66"/>
  </sheetPr>
  <dimension ref="A1:S32"/>
  <sheetViews>
    <sheetView showGridLines="0" zoomScale="160" zoomScaleNormal="160" workbookViewId="0">
      <selection activeCell="Q1" sqref="Q1:R1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6.44140625" style="8" customWidth="1"/>
    <col min="7" max="7" width="7.33203125" style="8" customWidth="1"/>
    <col min="8" max="8" width="7.6640625" style="8" customWidth="1"/>
    <col min="9" max="9" width="4.109375" style="8" customWidth="1"/>
    <col min="10" max="10" width="4.44140625" style="8" customWidth="1"/>
    <col min="11" max="11" width="7.33203125" style="8" customWidth="1"/>
    <col min="12" max="13" width="4.44140625" style="8" customWidth="1"/>
    <col min="14" max="14" width="6.44140625" style="8" customWidth="1"/>
    <col min="15" max="15" width="5.88671875" style="8" customWidth="1"/>
    <col min="16" max="16" width="7.6640625" style="8" customWidth="1"/>
    <col min="17" max="17" width="5.109375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9" ht="51.75" customHeight="1" x14ac:dyDescent="0.85">
      <c r="A1" s="11"/>
      <c r="Q1" s="484">
        <v>10</v>
      </c>
      <c r="R1" s="484"/>
    </row>
    <row r="2" spans="1:19" ht="12.75" customHeight="1" x14ac:dyDescent="0.3">
      <c r="A2" s="11"/>
      <c r="B2" s="7"/>
      <c r="C2" s="7"/>
      <c r="D2" s="7"/>
      <c r="E2" s="7"/>
      <c r="F2" s="7"/>
      <c r="G2" s="7"/>
      <c r="H2" s="7"/>
      <c r="I2" s="7"/>
      <c r="K2" s="7"/>
      <c r="L2" s="7"/>
      <c r="M2" s="441" t="s">
        <v>375</v>
      </c>
      <c r="N2" s="441"/>
      <c r="O2" s="441"/>
      <c r="P2" s="485" t="str">
        <f>LOOKUP(Q1,DATOS!A:A,DATOS!J:J)</f>
        <v>850501 CAO</v>
      </c>
      <c r="Q2" s="485"/>
      <c r="R2" s="485"/>
    </row>
    <row r="3" spans="1:19" ht="30" customHeight="1" x14ac:dyDescent="0.3">
      <c r="A3" s="11"/>
      <c r="B3" s="7"/>
      <c r="C3" s="7"/>
      <c r="D3" s="7"/>
      <c r="E3" s="7"/>
      <c r="F3" s="7"/>
      <c r="G3" s="7"/>
      <c r="H3" s="7"/>
      <c r="I3" s="7"/>
      <c r="J3" s="486">
        <f>LOOKUP(Q1,DATOS!A:A,DATOS!B:B)</f>
        <v>10</v>
      </c>
      <c r="K3" s="486"/>
      <c r="L3" s="7"/>
      <c r="M3" s="9"/>
      <c r="N3" s="440" t="s">
        <v>386</v>
      </c>
      <c r="O3" s="440"/>
      <c r="P3" s="271" t="str">
        <f>LOOKUP(Q1,DATOS!A:A,DATOS!K:K)</f>
        <v>ID</v>
      </c>
      <c r="Q3" s="43" t="s">
        <v>387</v>
      </c>
      <c r="R3" s="271">
        <f>LOOKUP(Q1,DATOS!A:A,DATOS!H:H)</f>
        <v>41</v>
      </c>
    </row>
    <row r="4" spans="1:19" ht="10.5" customHeight="1" x14ac:dyDescent="0.3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28"/>
    </row>
    <row r="5" spans="1:19" ht="30.75" customHeight="1" x14ac:dyDescent="0.3">
      <c r="A5" s="11"/>
      <c r="B5" s="7"/>
      <c r="C5" s="436" t="str">
        <f>LOOKUP(Q1,DATOS!A:A,DATOS!N:N)</f>
        <v>DR. AGUAYO</v>
      </c>
      <c r="D5" s="436"/>
      <c r="E5" s="436"/>
      <c r="F5" s="436"/>
      <c r="G5" s="7"/>
      <c r="H5" s="436" t="s">
        <v>156</v>
      </c>
      <c r="I5" s="436"/>
      <c r="J5" s="436"/>
      <c r="K5" s="436"/>
      <c r="L5" s="483" t="str">
        <f>LOOKUP(Q1,DATOS!A:A,DATOS!G:G)</f>
        <v>CONTRERAS ALI OVIDIO</v>
      </c>
      <c r="M5" s="483"/>
      <c r="N5" s="483"/>
      <c r="O5" s="483"/>
      <c r="P5" s="483"/>
      <c r="Q5" s="483"/>
      <c r="R5" s="483"/>
    </row>
    <row r="6" spans="1:19" s="266" customFormat="1" ht="12" customHeight="1" x14ac:dyDescent="0.3">
      <c r="A6" s="262"/>
      <c r="B6" s="263"/>
      <c r="C6" s="429" t="s">
        <v>380</v>
      </c>
      <c r="D6" s="429"/>
      <c r="E6" s="429"/>
      <c r="F6" s="429"/>
      <c r="G6" s="264"/>
      <c r="H6" s="429" t="s">
        <v>379</v>
      </c>
      <c r="I6" s="429"/>
      <c r="J6" s="429"/>
      <c r="K6" s="267"/>
      <c r="L6" s="430" t="s">
        <v>378</v>
      </c>
      <c r="M6" s="430"/>
      <c r="N6" s="430"/>
      <c r="O6" s="430"/>
      <c r="P6" s="430"/>
      <c r="Q6" s="430"/>
      <c r="R6" s="265"/>
    </row>
    <row r="7" spans="1:19" ht="7.5" customHeight="1" x14ac:dyDescent="0.3">
      <c r="A7" s="1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R7" s="7"/>
    </row>
    <row r="8" spans="1:19" ht="24.75" customHeight="1" x14ac:dyDescent="0.3">
      <c r="A8" s="11"/>
      <c r="B8" s="7"/>
      <c r="C8" s="436" t="str">
        <f>LOOKUP(Q1,DATOS!A:A,DATOS!L:L)</f>
        <v>PAISE EL ALTO</v>
      </c>
      <c r="D8" s="436"/>
      <c r="E8" s="436"/>
      <c r="F8" s="31"/>
      <c r="G8" s="479" t="str">
        <f>LOOKUP(Q1,DATOS!A:A,DATOS!M:M)</f>
        <v>C-45</v>
      </c>
      <c r="H8" s="479"/>
      <c r="I8" s="479"/>
      <c r="J8" s="19"/>
      <c r="K8" s="7"/>
      <c r="L8" s="480">
        <f>LOOKUP(Q1,DATOS!A:A,DATOS!O:O)</f>
        <v>46155</v>
      </c>
      <c r="M8" s="480"/>
      <c r="N8" s="480"/>
      <c r="O8" s="480"/>
      <c r="P8" s="480"/>
      <c r="Q8" s="480"/>
      <c r="R8" s="38"/>
    </row>
    <row r="9" spans="1:19" s="266" customFormat="1" ht="12" customHeight="1" x14ac:dyDescent="0.3">
      <c r="A9" s="262"/>
      <c r="C9" s="431" t="s">
        <v>381</v>
      </c>
      <c r="D9" s="431"/>
      <c r="E9" s="431"/>
      <c r="F9" s="431"/>
      <c r="G9" s="431" t="s">
        <v>382</v>
      </c>
      <c r="H9" s="431"/>
      <c r="I9" s="431"/>
      <c r="J9" s="431"/>
      <c r="K9" s="431"/>
      <c r="L9" s="431" t="s">
        <v>383</v>
      </c>
      <c r="M9" s="431"/>
      <c r="N9" s="431"/>
      <c r="O9" s="431"/>
      <c r="P9" s="431"/>
      <c r="Q9" s="431"/>
      <c r="R9" s="267"/>
    </row>
    <row r="10" spans="1:19" ht="15" customHeight="1" x14ac:dyDescent="0.3">
      <c r="A10" s="11"/>
      <c r="B10" s="7"/>
      <c r="C10" s="7"/>
      <c r="D10" s="7"/>
      <c r="E10" s="7"/>
      <c r="F10" s="7"/>
      <c r="G10" s="7"/>
      <c r="H10" s="481"/>
      <c r="I10" s="481"/>
      <c r="J10" s="481"/>
      <c r="K10" s="481"/>
      <c r="L10" s="481"/>
      <c r="M10" s="7"/>
      <c r="N10" s="7"/>
      <c r="O10" s="7"/>
      <c r="P10" s="7"/>
      <c r="Q10" s="7"/>
      <c r="R10" s="7"/>
    </row>
    <row r="11" spans="1:19" ht="15.75" customHeight="1" x14ac:dyDescent="0.35">
      <c r="A11" s="11"/>
      <c r="C11" s="7"/>
      <c r="D11" s="49"/>
      <c r="E11" s="73"/>
      <c r="F11" s="73"/>
      <c r="G11" s="482" t="s">
        <v>249</v>
      </c>
      <c r="H11" s="482"/>
      <c r="I11" s="482"/>
      <c r="J11" s="482"/>
      <c r="K11" s="482"/>
      <c r="L11" s="482"/>
      <c r="M11" s="482"/>
      <c r="N11" s="482"/>
      <c r="O11" s="74"/>
      <c r="P11" s="74"/>
      <c r="Q11" s="15"/>
      <c r="R11" s="15"/>
      <c r="S11" s="7"/>
    </row>
    <row r="12" spans="1:19" ht="15" customHeight="1" x14ac:dyDescent="0.3">
      <c r="A12" s="11"/>
      <c r="C12" s="7"/>
      <c r="D12" s="49"/>
      <c r="E12" s="73"/>
      <c r="F12" s="73"/>
      <c r="G12" s="7"/>
      <c r="H12" s="7"/>
      <c r="I12" s="7"/>
      <c r="J12" s="7"/>
      <c r="K12" s="7"/>
      <c r="L12" s="7"/>
      <c r="M12" s="67"/>
      <c r="N12" s="74"/>
      <c r="O12" s="74"/>
      <c r="P12" s="74"/>
      <c r="Q12" s="15"/>
      <c r="S12" s="7"/>
    </row>
    <row r="13" spans="1:19" ht="15" customHeight="1" x14ac:dyDescent="0.3">
      <c r="A13" s="11"/>
      <c r="C13" s="7"/>
      <c r="D13" s="49"/>
      <c r="E13" s="73"/>
      <c r="F13" s="75"/>
      <c r="G13" s="69"/>
      <c r="I13" s="437"/>
      <c r="J13" s="437"/>
      <c r="K13" s="437"/>
      <c r="L13" s="437"/>
      <c r="M13" s="437"/>
      <c r="N13" s="437"/>
      <c r="O13" s="74"/>
      <c r="P13" s="74"/>
      <c r="Q13" s="68"/>
      <c r="S13" s="7"/>
    </row>
    <row r="14" spans="1:19" ht="16.5" customHeight="1" x14ac:dyDescent="0.35">
      <c r="A14" s="11"/>
      <c r="C14" s="7"/>
      <c r="D14" s="49"/>
      <c r="E14" s="73"/>
      <c r="F14" s="75"/>
      <c r="H14" s="553" t="s">
        <v>250</v>
      </c>
      <c r="I14" s="553"/>
      <c r="J14" s="553"/>
      <c r="K14" s="554">
        <f>LOOKUP(Q1,DATOS!A:A,DATOS!U:U)</f>
        <v>64</v>
      </c>
      <c r="L14" s="554"/>
      <c r="M14" s="69" t="s">
        <v>118</v>
      </c>
      <c r="N14" s="91"/>
      <c r="O14" s="74"/>
      <c r="P14" s="74"/>
      <c r="Q14" s="68"/>
      <c r="S14" s="7"/>
    </row>
    <row r="15" spans="1:19" ht="15" customHeight="1" x14ac:dyDescent="0.35">
      <c r="A15" s="11"/>
      <c r="B15" s="7"/>
      <c r="C15" s="69"/>
      <c r="D15" s="76"/>
      <c r="E15" s="76"/>
      <c r="F15" s="76"/>
      <c r="H15" s="553" t="s">
        <v>251</v>
      </c>
      <c r="I15" s="553"/>
      <c r="J15" s="553"/>
      <c r="K15" s="555">
        <f>LOOKUP(Q1,DATOS!A:A,DATOS!V:V)</f>
        <v>21</v>
      </c>
      <c r="L15" s="555"/>
      <c r="M15" s="69" t="s">
        <v>252</v>
      </c>
      <c r="N15" s="91"/>
      <c r="O15" s="74"/>
      <c r="P15" s="74"/>
      <c r="Q15" s="15"/>
      <c r="R15" s="70"/>
      <c r="S15" s="20"/>
    </row>
    <row r="16" spans="1:19" ht="15.75" customHeight="1" x14ac:dyDescent="0.35">
      <c r="A16" s="11"/>
      <c r="B16" s="7"/>
      <c r="C16" s="71"/>
      <c r="D16" s="49"/>
      <c r="E16" s="59"/>
      <c r="F16" s="77"/>
      <c r="H16" s="89"/>
      <c r="I16" s="556"/>
      <c r="J16" s="556"/>
      <c r="K16" s="554"/>
      <c r="L16" s="554"/>
      <c r="M16" s="69"/>
      <c r="N16" s="91"/>
      <c r="O16" s="74"/>
      <c r="P16" s="74"/>
      <c r="Q16" s="7"/>
      <c r="R16" s="15"/>
      <c r="S16" s="7"/>
    </row>
    <row r="17" spans="1:19" ht="18" customHeight="1" x14ac:dyDescent="0.3">
      <c r="A17" s="11"/>
      <c r="B17" s="7"/>
      <c r="C17" s="7"/>
      <c r="D17" s="49"/>
      <c r="E17" s="59"/>
      <c r="F17" s="77"/>
      <c r="G17" s="77"/>
      <c r="I17" s="437"/>
      <c r="J17" s="437"/>
      <c r="K17" s="272"/>
      <c r="L17" s="69"/>
      <c r="M17" s="78"/>
      <c r="N17" s="57"/>
      <c r="O17" s="72"/>
      <c r="Q17" s="7"/>
      <c r="S17" s="7"/>
    </row>
    <row r="18" spans="1:19" ht="6.75" customHeight="1" x14ac:dyDescent="0.3">
      <c r="A18" s="11"/>
      <c r="B18" s="7"/>
      <c r="C18" s="7"/>
      <c r="D18" s="49"/>
      <c r="E18" s="59"/>
      <c r="F18" s="59"/>
      <c r="G18" s="59"/>
      <c r="H18" s="7"/>
      <c r="I18" s="7"/>
      <c r="J18" s="7"/>
      <c r="K18" s="7"/>
      <c r="L18" s="7"/>
      <c r="M18" s="49"/>
      <c r="N18" s="72"/>
      <c r="O18" s="72"/>
      <c r="P18" s="40"/>
      <c r="Q18" s="44"/>
      <c r="R18" s="7"/>
    </row>
    <row r="19" spans="1:19" ht="16.5" customHeight="1" x14ac:dyDescent="0.3">
      <c r="A19" s="11"/>
      <c r="B19" s="7"/>
      <c r="C19" s="7"/>
      <c r="D19" s="49"/>
      <c r="E19" s="59"/>
      <c r="F19" s="59"/>
      <c r="G19" s="59"/>
      <c r="H19" s="65"/>
      <c r="I19" s="65"/>
      <c r="J19" s="65"/>
      <c r="K19" s="7"/>
      <c r="L19" s="7"/>
      <c r="M19" s="60"/>
      <c r="N19" s="57"/>
      <c r="O19" s="7"/>
      <c r="P19" s="7"/>
      <c r="Q19" s="7"/>
      <c r="R19" s="7"/>
    </row>
    <row r="20" spans="1:19" ht="5.25" customHeight="1" x14ac:dyDescent="0.3">
      <c r="A20" s="11"/>
      <c r="B20" s="7"/>
      <c r="C20" s="7"/>
      <c r="D20" s="53"/>
      <c r="E20" s="7"/>
      <c r="F20" s="7"/>
      <c r="G20" s="7"/>
      <c r="H20" s="15"/>
      <c r="I20" s="57"/>
      <c r="J20" s="7"/>
      <c r="K20" s="7"/>
      <c r="L20" s="7"/>
      <c r="M20" s="7"/>
      <c r="N20" s="57"/>
      <c r="O20" s="7"/>
      <c r="P20" s="7"/>
      <c r="Q20" s="7"/>
      <c r="R20" s="7"/>
    </row>
    <row r="21" spans="1:19" ht="14.4" x14ac:dyDescent="0.3">
      <c r="A21" s="11"/>
      <c r="B21" s="470" t="s">
        <v>261</v>
      </c>
      <c r="C21" s="470"/>
      <c r="D21" s="470"/>
      <c r="E21" s="470"/>
      <c r="F21" s="470"/>
      <c r="G21" s="441" t="s">
        <v>385</v>
      </c>
      <c r="H21" s="441"/>
      <c r="I21" s="471">
        <f>LOOKUP(Q1,DATOS!A:A,DATOS!P:P)</f>
        <v>46156</v>
      </c>
      <c r="J21" s="471"/>
      <c r="K21" s="471"/>
      <c r="L21" s="471"/>
      <c r="M21" s="471"/>
      <c r="N21" s="471"/>
      <c r="O21" s="471"/>
      <c r="P21" s="9" t="s">
        <v>169</v>
      </c>
      <c r="Q21" s="472">
        <f ca="1">NOW()</f>
        <v>46197.396101620368</v>
      </c>
      <c r="R21" s="472"/>
    </row>
    <row r="30" spans="1:19" ht="12.75" customHeight="1" x14ac:dyDescent="0.3"/>
    <row r="31" spans="1:19" ht="12.75" customHeight="1" x14ac:dyDescent="0.3"/>
    <row r="32" spans="1:19" ht="12.75" customHeight="1" x14ac:dyDescent="0.3"/>
  </sheetData>
  <sheetProtection sheet="1" objects="1" scenarios="1" selectLockedCells="1"/>
  <mergeCells count="32">
    <mergeCell ref="G9:K9"/>
    <mergeCell ref="Q1:R1"/>
    <mergeCell ref="M2:O2"/>
    <mergeCell ref="P2:R2"/>
    <mergeCell ref="C5:F5"/>
    <mergeCell ref="H5:K5"/>
    <mergeCell ref="L5:R5"/>
    <mergeCell ref="N3:O3"/>
    <mergeCell ref="J3:K3"/>
    <mergeCell ref="B21:F21"/>
    <mergeCell ref="K15:L15"/>
    <mergeCell ref="I16:J16"/>
    <mergeCell ref="K16:L16"/>
    <mergeCell ref="I21:O21"/>
    <mergeCell ref="G21:H21"/>
    <mergeCell ref="I17:J17"/>
    <mergeCell ref="Q21:R21"/>
    <mergeCell ref="H14:J14"/>
    <mergeCell ref="H15:J15"/>
    <mergeCell ref="C6:F6"/>
    <mergeCell ref="H6:J6"/>
    <mergeCell ref="L6:Q6"/>
    <mergeCell ref="C9:F9"/>
    <mergeCell ref="L9:Q9"/>
    <mergeCell ref="C8:E8"/>
    <mergeCell ref="G8:I8"/>
    <mergeCell ref="L8:Q8"/>
    <mergeCell ref="H10:L10"/>
    <mergeCell ref="G11:N11"/>
    <mergeCell ref="I13:J13"/>
    <mergeCell ref="K13:N13"/>
    <mergeCell ref="K14:L14"/>
  </mergeCells>
  <pageMargins left="0.27559055118110237" right="0.39370078740157483" top="0.43307086614173229" bottom="0.98425196850393704" header="0" footer="0"/>
  <pageSetup orientation="portrait" blackAndWhite="1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FFFF"/>
  </sheetPr>
  <dimension ref="A1:S39"/>
  <sheetViews>
    <sheetView showGridLines="0" zoomScale="145" zoomScaleNormal="145" workbookViewId="0">
      <selection activeCell="Q1" sqref="Q1:R1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6.44140625" style="8" customWidth="1"/>
    <col min="7" max="7" width="7.33203125" style="8" customWidth="1"/>
    <col min="8" max="8" width="7.6640625" style="8" customWidth="1"/>
    <col min="9" max="9" width="4.109375" style="8" customWidth="1"/>
    <col min="10" max="10" width="4.44140625" style="8" customWidth="1"/>
    <col min="11" max="11" width="7.33203125" style="8" customWidth="1"/>
    <col min="12" max="13" width="4.44140625" style="8" customWidth="1"/>
    <col min="14" max="14" width="6.44140625" style="8" customWidth="1"/>
    <col min="15" max="15" width="5.88671875" style="8" customWidth="1"/>
    <col min="16" max="16" width="7.6640625" style="8" customWidth="1"/>
    <col min="17" max="17" width="7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9" ht="51.75" customHeight="1" x14ac:dyDescent="0.85">
      <c r="A1" s="11"/>
      <c r="Q1" s="484">
        <v>11</v>
      </c>
      <c r="R1" s="484"/>
    </row>
    <row r="2" spans="1:19" ht="12.75" customHeight="1" x14ac:dyDescent="0.3">
      <c r="A2" s="11"/>
      <c r="B2" s="7"/>
      <c r="C2" s="7"/>
      <c r="D2" s="7"/>
      <c r="E2" s="7"/>
      <c r="F2" s="7"/>
      <c r="G2" s="7"/>
      <c r="H2" s="7"/>
      <c r="I2" s="7"/>
      <c r="K2" s="7"/>
      <c r="L2" s="7"/>
      <c r="M2" s="441" t="s">
        <v>375</v>
      </c>
      <c r="N2" s="441"/>
      <c r="O2" s="441"/>
      <c r="P2" s="565" t="str">
        <f>LOOKUP(Q1,DATOS!A:A,DATOS!J:J)</f>
        <v>570805 CHA</v>
      </c>
      <c r="Q2" s="565"/>
      <c r="R2" s="565"/>
    </row>
    <row r="3" spans="1:19" ht="27.75" customHeight="1" x14ac:dyDescent="0.3">
      <c r="A3" s="11"/>
      <c r="B3" s="7"/>
      <c r="C3" s="7"/>
      <c r="D3" s="7"/>
      <c r="E3" s="7"/>
      <c r="F3" s="7"/>
      <c r="G3" s="7"/>
      <c r="H3" s="7"/>
      <c r="I3" s="7"/>
      <c r="J3" s="486">
        <f>LOOKUP(Q1,DATOS!A:A,DATOS!B:B)</f>
        <v>11</v>
      </c>
      <c r="K3" s="486"/>
      <c r="L3" s="7"/>
      <c r="M3" s="9"/>
      <c r="N3" s="440" t="s">
        <v>386</v>
      </c>
      <c r="O3" s="440"/>
      <c r="P3" s="60" t="str">
        <f>LOOKUP(Q1,DATOS!A:A,DATOS!K:K)</f>
        <v>ID</v>
      </c>
      <c r="Q3" s="361" t="s">
        <v>387</v>
      </c>
      <c r="R3" s="60">
        <f>LOOKUP(Q1,DATOS!A:A,DATOS!H:H)</f>
        <v>68</v>
      </c>
    </row>
    <row r="4" spans="1:19" ht="11.25" customHeight="1" x14ac:dyDescent="0.3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28"/>
    </row>
    <row r="5" spans="1:19" ht="18" customHeight="1" x14ac:dyDescent="0.3">
      <c r="A5" s="11"/>
      <c r="B5" s="7"/>
      <c r="C5" s="436" t="str">
        <f>LOOKUP(Q1,DATOS!A:A,DATOS!N:N)</f>
        <v>DR. ZAMBRANA</v>
      </c>
      <c r="D5" s="436"/>
      <c r="E5" s="436"/>
      <c r="F5" s="436"/>
      <c r="G5" s="7"/>
      <c r="H5" s="436" t="s">
        <v>156</v>
      </c>
      <c r="I5" s="436"/>
      <c r="J5" s="436"/>
      <c r="K5" s="436"/>
      <c r="L5" s="483" t="str">
        <f>LOOKUP(Q1,DATOS!A:A,DATOS!G:G)</f>
        <v>CHURA HUACOTO ANGELINO</v>
      </c>
      <c r="M5" s="483"/>
      <c r="N5" s="483"/>
      <c r="O5" s="483"/>
      <c r="P5" s="483"/>
      <c r="Q5" s="483"/>
      <c r="R5" s="483"/>
    </row>
    <row r="6" spans="1:19" s="266" customFormat="1" ht="12" customHeight="1" x14ac:dyDescent="0.3">
      <c r="A6" s="262"/>
      <c r="B6" s="263"/>
      <c r="C6" s="429" t="s">
        <v>380</v>
      </c>
      <c r="D6" s="429"/>
      <c r="E6" s="429"/>
      <c r="F6" s="429"/>
      <c r="G6" s="264"/>
      <c r="H6" s="429" t="s">
        <v>379</v>
      </c>
      <c r="I6" s="429"/>
      <c r="J6" s="429"/>
      <c r="K6" s="267"/>
      <c r="L6" s="430" t="s">
        <v>517</v>
      </c>
      <c r="M6" s="430"/>
      <c r="N6" s="430"/>
      <c r="O6" s="430"/>
      <c r="P6" s="430"/>
      <c r="Q6" s="430"/>
      <c r="R6" s="265"/>
    </row>
    <row r="7" spans="1:19" ht="24.75" customHeight="1" x14ac:dyDescent="0.3">
      <c r="A7" s="11"/>
      <c r="B7" s="7"/>
      <c r="C7" s="436" t="str">
        <f>LOOKUP(Q1,DATOS!A:A,DATOS!L:L)</f>
        <v>PAISE EL ALTO</v>
      </c>
      <c r="D7" s="436"/>
      <c r="E7" s="436"/>
      <c r="F7" s="31"/>
      <c r="G7" s="479" t="str">
        <f>LOOKUP(Q1,DATOS!A:A,DATOS!M:M)</f>
        <v>CARDIOLOGIA</v>
      </c>
      <c r="H7" s="479"/>
      <c r="I7" s="479"/>
      <c r="J7" s="19"/>
      <c r="K7" s="7"/>
      <c r="L7" s="480">
        <f>LOOKUP(Q1,DATOS!A:A,DATOS!O:O)</f>
        <v>46105</v>
      </c>
      <c r="M7" s="480"/>
      <c r="N7" s="480"/>
      <c r="O7" s="480"/>
      <c r="P7" s="480"/>
      <c r="Q7" s="480"/>
      <c r="R7" s="38"/>
    </row>
    <row r="8" spans="1:19" s="266" customFormat="1" ht="12" customHeight="1" x14ac:dyDescent="0.3">
      <c r="A8" s="262"/>
      <c r="C8" s="431" t="s">
        <v>381</v>
      </c>
      <c r="D8" s="431"/>
      <c r="E8" s="431"/>
      <c r="F8" s="431"/>
      <c r="G8" s="431" t="s">
        <v>382</v>
      </c>
      <c r="H8" s="431"/>
      <c r="I8" s="431"/>
      <c r="J8" s="431"/>
      <c r="K8" s="431"/>
      <c r="L8" s="431" t="s">
        <v>383</v>
      </c>
      <c r="M8" s="431"/>
      <c r="N8" s="431"/>
      <c r="O8" s="431"/>
      <c r="P8" s="431"/>
      <c r="Q8" s="431"/>
      <c r="R8" s="267"/>
    </row>
    <row r="9" spans="1:19" ht="8.25" customHeight="1" x14ac:dyDescent="0.3">
      <c r="A9" s="11"/>
      <c r="B9" s="7"/>
      <c r="C9" s="7"/>
      <c r="D9" s="7"/>
      <c r="E9" s="7"/>
      <c r="F9" s="7"/>
      <c r="G9" s="7"/>
      <c r="H9" s="481"/>
      <c r="I9" s="481"/>
      <c r="J9" s="481"/>
      <c r="K9" s="481"/>
      <c r="L9" s="481"/>
      <c r="M9" s="7"/>
      <c r="N9" s="7"/>
      <c r="O9" s="7"/>
      <c r="P9" s="7"/>
      <c r="Q9" s="7"/>
      <c r="R9" s="7"/>
    </row>
    <row r="10" spans="1:19" ht="15.75" customHeight="1" x14ac:dyDescent="0.45">
      <c r="A10" s="11"/>
      <c r="C10" s="92" t="s">
        <v>249</v>
      </c>
      <c r="D10" s="49"/>
      <c r="E10" s="73"/>
      <c r="F10" s="73"/>
      <c r="H10" s="92"/>
      <c r="I10" s="92"/>
      <c r="J10" s="364"/>
      <c r="K10" s="92"/>
      <c r="L10" s="92"/>
      <c r="M10" s="87" t="s">
        <v>64</v>
      </c>
      <c r="N10" s="92"/>
      <c r="O10" s="563"/>
      <c r="P10" s="563"/>
      <c r="Q10" s="563"/>
      <c r="R10" s="15"/>
      <c r="S10" s="7"/>
    </row>
    <row r="11" spans="1:19" ht="12" customHeight="1" x14ac:dyDescent="0.35">
      <c r="A11" s="11"/>
      <c r="C11" s="87"/>
      <c r="D11" s="15"/>
      <c r="E11" s="167" t="s">
        <v>425</v>
      </c>
      <c r="F11" s="280"/>
      <c r="G11" s="281">
        <f>LOOKUP(Q1,DATOS!A:A,DATOS!U:U)</f>
        <v>54</v>
      </c>
      <c r="H11" s="276" t="s">
        <v>118</v>
      </c>
      <c r="I11" s="92"/>
      <c r="J11" s="364"/>
      <c r="K11" s="59"/>
      <c r="L11" s="59"/>
      <c r="M11" s="15" t="s">
        <v>520</v>
      </c>
      <c r="N11" s="562" t="str">
        <f>LOOKUP(Q1,DATOS!A:A,DATOS!CO:CO)</f>
        <v>-</v>
      </c>
      <c r="O11" s="562"/>
      <c r="P11" s="562"/>
      <c r="Q11" s="15"/>
      <c r="S11" s="7"/>
    </row>
    <row r="12" spans="1:19" ht="12" customHeight="1" x14ac:dyDescent="0.35">
      <c r="A12" s="11"/>
      <c r="C12" s="87"/>
      <c r="D12" s="15"/>
      <c r="E12" s="167" t="s">
        <v>426</v>
      </c>
      <c r="F12" s="282"/>
      <c r="G12" s="283">
        <f>LOOKUP(Q1,DATOS!A:A,DATOS!V:V)</f>
        <v>18.100000000000001</v>
      </c>
      <c r="H12" s="55" t="s">
        <v>252</v>
      </c>
      <c r="I12" s="92"/>
      <c r="J12" s="364"/>
      <c r="K12" s="59"/>
      <c r="L12" s="59"/>
      <c r="M12" s="15" t="s">
        <v>521</v>
      </c>
      <c r="N12" s="560" t="str">
        <f>LOOKUP(Q1,DATOS!A:A,DATOS!CP:CP)</f>
        <v>-</v>
      </c>
      <c r="O12" s="560"/>
      <c r="P12" s="560"/>
      <c r="Q12" s="15"/>
      <c r="S12" s="7"/>
    </row>
    <row r="13" spans="1:19" ht="12" customHeight="1" x14ac:dyDescent="0.35">
      <c r="A13" s="11"/>
      <c r="C13" s="87"/>
      <c r="D13" s="15"/>
      <c r="E13" s="167" t="s">
        <v>427</v>
      </c>
      <c r="F13" s="282"/>
      <c r="G13" s="283">
        <f>LOOKUP(Q1,DATOS!A:A,DATOS!AJ:AJ)</f>
        <v>103000</v>
      </c>
      <c r="H13" s="276" t="s">
        <v>428</v>
      </c>
      <c r="I13" s="92"/>
      <c r="J13" s="364"/>
      <c r="K13" s="59"/>
      <c r="L13" s="59"/>
      <c r="M13" s="15" t="s">
        <v>522</v>
      </c>
      <c r="N13" s="560" t="str">
        <f>LOOKUP(Q1,DATOS!A:A,DATOS!CQ:CQ)</f>
        <v>-</v>
      </c>
      <c r="O13" s="560"/>
      <c r="P13" s="560"/>
      <c r="Q13" s="68"/>
      <c r="S13" s="7"/>
    </row>
    <row r="14" spans="1:19" ht="12" customHeight="1" x14ac:dyDescent="0.3">
      <c r="A14" s="11"/>
      <c r="C14" s="7"/>
      <c r="D14" s="15"/>
      <c r="E14" s="167" t="s">
        <v>260</v>
      </c>
      <c r="F14" s="564">
        <f>LOOKUP(Q1,DATOS!A:A,DATOS!Z:Z)</f>
        <v>4660</v>
      </c>
      <c r="G14" s="564"/>
      <c r="H14" s="55" t="s">
        <v>428</v>
      </c>
      <c r="J14" s="364"/>
      <c r="K14" s="59"/>
      <c r="L14" s="93"/>
      <c r="M14" s="15" t="s">
        <v>523</v>
      </c>
      <c r="N14" s="560" t="str">
        <f>LOOKUP(Q1,DATOS!A:A,DATOS!CR:CR)</f>
        <v>-</v>
      </c>
      <c r="O14" s="560"/>
      <c r="P14" s="560"/>
      <c r="Q14" s="68"/>
      <c r="S14" s="7"/>
    </row>
    <row r="15" spans="1:19" ht="12.75" customHeight="1" x14ac:dyDescent="0.3">
      <c r="A15" s="11"/>
      <c r="C15" s="7"/>
      <c r="D15" s="15"/>
      <c r="E15" s="277" t="s">
        <v>298</v>
      </c>
      <c r="F15" s="561">
        <f>LOOKUP(Q1,DATOS!A:A,DATOS!AE:AE)</f>
        <v>0</v>
      </c>
      <c r="G15" s="561"/>
      <c r="H15" s="33" t="s">
        <v>118</v>
      </c>
      <c r="J15" s="364"/>
      <c r="K15" s="93"/>
      <c r="Q15" s="15"/>
      <c r="R15" s="70"/>
      <c r="S15" s="7"/>
    </row>
    <row r="16" spans="1:19" ht="12.75" customHeight="1" x14ac:dyDescent="0.3">
      <c r="A16" s="11"/>
      <c r="D16" s="79"/>
      <c r="E16" s="277" t="s">
        <v>253</v>
      </c>
      <c r="F16" s="561">
        <f>LOOKUP(Q1,DATOS!A:A,DATOS!AA:AA)</f>
        <v>35</v>
      </c>
      <c r="G16" s="561"/>
      <c r="H16" s="33" t="s">
        <v>118</v>
      </c>
      <c r="J16" s="364"/>
      <c r="L16" s="87" t="s">
        <v>519</v>
      </c>
      <c r="S16" s="7"/>
    </row>
    <row r="17" spans="1:19" ht="12.75" customHeight="1" x14ac:dyDescent="0.3">
      <c r="A17" s="11"/>
      <c r="D17" s="15"/>
      <c r="E17" s="278" t="s">
        <v>254</v>
      </c>
      <c r="F17" s="561">
        <f>LOOKUP(Q1,DATOS!A:A,DATOS!AD:AD)</f>
        <v>6</v>
      </c>
      <c r="G17" s="561"/>
      <c r="H17" s="33" t="s">
        <v>118</v>
      </c>
      <c r="J17" s="364"/>
      <c r="K17" s="559" t="s">
        <v>413</v>
      </c>
      <c r="L17" s="559"/>
      <c r="M17" s="558">
        <f>LOOKUP(Q1,DATOS!A:A,DATOS!DO:DO)</f>
        <v>0</v>
      </c>
      <c r="N17" s="558"/>
      <c r="O17" s="558"/>
      <c r="P17" s="558"/>
      <c r="S17" s="7"/>
    </row>
    <row r="18" spans="1:19" ht="12.75" customHeight="1" x14ac:dyDescent="0.3">
      <c r="A18" s="11"/>
      <c r="B18" s="7"/>
      <c r="D18" s="278"/>
      <c r="E18" s="279" t="s">
        <v>255</v>
      </c>
      <c r="F18" s="561">
        <f>LOOKUP(Q1,DATOS!A:A,DATOS!AH:AH)</f>
        <v>0</v>
      </c>
      <c r="G18" s="561"/>
      <c r="H18" s="33" t="s">
        <v>118</v>
      </c>
      <c r="J18" s="364"/>
      <c r="K18" s="559" t="s">
        <v>407</v>
      </c>
      <c r="L18" s="559"/>
      <c r="M18" s="558">
        <f>LOOKUP(Q1,DATOS!A:A,DATOS!DM:DM)</f>
        <v>0</v>
      </c>
      <c r="N18" s="558"/>
      <c r="O18" s="558"/>
      <c r="P18" s="558"/>
      <c r="S18" s="20"/>
    </row>
    <row r="19" spans="1:19" ht="12.75" customHeight="1" x14ac:dyDescent="0.3">
      <c r="A19" s="11"/>
      <c r="B19" s="7"/>
      <c r="D19" s="15"/>
      <c r="E19" s="279" t="s">
        <v>256</v>
      </c>
      <c r="F19" s="561">
        <f>LOOKUP(Q1,DATOS!A:A,DATOS!AB:AB)</f>
        <v>58</v>
      </c>
      <c r="G19" s="561"/>
      <c r="H19" s="33" t="s">
        <v>118</v>
      </c>
      <c r="J19" s="365"/>
      <c r="K19" s="559" t="s">
        <v>408</v>
      </c>
      <c r="L19" s="559"/>
      <c r="M19" s="558">
        <f>LOOKUP(Q1,DATOS!A:A,DATOS!DN:DN)</f>
        <v>0</v>
      </c>
      <c r="N19" s="558"/>
      <c r="O19" s="558"/>
      <c r="P19" s="558"/>
      <c r="Q19" s="7"/>
      <c r="R19" s="15"/>
      <c r="S19" s="7"/>
    </row>
    <row r="20" spans="1:19" ht="12.75" customHeight="1" x14ac:dyDescent="0.3">
      <c r="A20" s="11"/>
      <c r="B20" s="7"/>
      <c r="D20" s="15"/>
      <c r="E20" s="90" t="s">
        <v>257</v>
      </c>
      <c r="F20" s="561">
        <f>LOOKUP(Q1,DATOS!A:A,DATOS!AC:AC)</f>
        <v>1</v>
      </c>
      <c r="G20" s="561"/>
      <c r="H20" s="33" t="s">
        <v>118</v>
      </c>
      <c r="J20" s="365"/>
      <c r="K20" s="559" t="s">
        <v>409</v>
      </c>
      <c r="L20" s="559"/>
      <c r="M20" s="558">
        <f>LOOKUP(Q1,DATOS!A:A,DATOS!DP:DP)</f>
        <v>0</v>
      </c>
      <c r="N20" s="558"/>
      <c r="O20" s="558"/>
      <c r="P20" s="558"/>
      <c r="Q20" s="7"/>
      <c r="S20" s="7"/>
    </row>
    <row r="21" spans="1:19" ht="12.75" customHeight="1" x14ac:dyDescent="0.3">
      <c r="A21" s="11"/>
      <c r="B21" s="7"/>
      <c r="D21" s="15"/>
      <c r="E21" s="90" t="s">
        <v>258</v>
      </c>
      <c r="F21" s="557">
        <f>SUM(F15:G20)</f>
        <v>100</v>
      </c>
      <c r="G21" s="557"/>
      <c r="H21" s="55"/>
      <c r="I21" s="7"/>
      <c r="J21" s="366"/>
      <c r="K21" s="559" t="s">
        <v>410</v>
      </c>
      <c r="L21" s="559"/>
      <c r="M21" s="558">
        <f>LOOKUP(Q1,DATOS!A:A,DATOS!DQ:DQ)</f>
        <v>0</v>
      </c>
      <c r="N21" s="558"/>
      <c r="O21" s="558"/>
      <c r="P21" s="558"/>
      <c r="Q21" s="44"/>
      <c r="R21" s="7"/>
    </row>
    <row r="22" spans="1:19" ht="12.75" customHeight="1" x14ac:dyDescent="0.3">
      <c r="A22" s="11"/>
      <c r="B22" s="7"/>
      <c r="D22" s="15"/>
      <c r="E22" s="90"/>
      <c r="F22" s="363"/>
      <c r="G22" s="363"/>
      <c r="H22" s="55"/>
      <c r="I22" s="7"/>
      <c r="J22" s="366"/>
      <c r="K22" s="559" t="s">
        <v>421</v>
      </c>
      <c r="L22" s="559"/>
      <c r="M22" s="558">
        <f>LOOKUP(Q1,DATOS!A:A,DATOS!DR:DR)</f>
        <v>0</v>
      </c>
      <c r="N22" s="558"/>
      <c r="O22" s="558"/>
      <c r="P22" s="558"/>
      <c r="Q22" s="44"/>
      <c r="R22" s="7"/>
    </row>
    <row r="23" spans="1:19" ht="12.75" customHeight="1" x14ac:dyDescent="0.3">
      <c r="A23" s="11"/>
      <c r="B23" s="7"/>
      <c r="D23" s="15"/>
      <c r="E23" s="90"/>
      <c r="F23" s="363"/>
      <c r="G23" s="363"/>
      <c r="H23" s="55"/>
      <c r="I23" s="7"/>
      <c r="J23" s="366"/>
      <c r="K23" s="559" t="s">
        <v>411</v>
      </c>
      <c r="L23" s="559"/>
      <c r="M23" s="558">
        <f>LOOKUP(Q1,DATOS!A:A,DATOS!DL:DL)</f>
        <v>0</v>
      </c>
      <c r="N23" s="558"/>
      <c r="O23" s="558"/>
      <c r="P23" s="558"/>
      <c r="Q23" s="44"/>
      <c r="R23" s="7"/>
    </row>
    <row r="24" spans="1:19" ht="12.75" customHeight="1" x14ac:dyDescent="0.3">
      <c r="A24" s="11"/>
      <c r="B24" s="7"/>
      <c r="D24" s="15"/>
      <c r="E24" s="90"/>
      <c r="F24" s="363"/>
      <c r="G24" s="363"/>
      <c r="H24" s="55"/>
      <c r="I24" s="7"/>
      <c r="J24" s="366"/>
      <c r="K24" s="559" t="s">
        <v>412</v>
      </c>
      <c r="L24" s="559"/>
      <c r="M24" s="558">
        <f>LOOKUP(Q1,DATOS!A:A,DATOS!DS:DS)</f>
        <v>0</v>
      </c>
      <c r="N24" s="558"/>
      <c r="O24" s="558"/>
      <c r="P24" s="558"/>
      <c r="Q24" s="558"/>
      <c r="R24" s="558"/>
    </row>
    <row r="25" spans="1:19" ht="16.5" customHeight="1" x14ac:dyDescent="0.3">
      <c r="A25" s="11"/>
      <c r="B25" s="7"/>
      <c r="C25" s="7"/>
      <c r="D25" s="49"/>
      <c r="F25" s="59"/>
      <c r="G25" s="59"/>
      <c r="H25" s="65"/>
      <c r="I25" s="65"/>
      <c r="J25" s="65"/>
      <c r="K25" s="559" t="s">
        <v>420</v>
      </c>
      <c r="L25" s="559"/>
      <c r="M25" s="558">
        <f>LOOKUP(Q1,DATOS!A:A,DATOS!DX:DX)</f>
        <v>0</v>
      </c>
      <c r="N25" s="558"/>
      <c r="O25" s="558"/>
      <c r="P25" s="558"/>
      <c r="Q25" s="558"/>
      <c r="R25" s="558"/>
    </row>
    <row r="26" spans="1:19" ht="5.25" customHeight="1" x14ac:dyDescent="0.3">
      <c r="A26" s="11"/>
      <c r="B26" s="7"/>
      <c r="C26" s="7"/>
      <c r="D26" s="53"/>
      <c r="E26" s="7"/>
      <c r="F26" s="7"/>
      <c r="G26" s="7"/>
      <c r="H26" s="15"/>
      <c r="I26" s="57"/>
      <c r="J26" s="7"/>
      <c r="K26" s="7"/>
      <c r="L26" s="7"/>
      <c r="M26" s="7"/>
      <c r="N26" s="57"/>
      <c r="O26" s="7"/>
      <c r="P26" s="7"/>
      <c r="Q26" s="7"/>
      <c r="R26" s="7"/>
    </row>
    <row r="27" spans="1:19" ht="14.4" x14ac:dyDescent="0.3">
      <c r="A27" s="11"/>
      <c r="B27" s="470" t="s">
        <v>261</v>
      </c>
      <c r="C27" s="470"/>
      <c r="D27" s="470"/>
      <c r="E27" s="470"/>
      <c r="F27" s="470"/>
      <c r="G27" s="441" t="s">
        <v>385</v>
      </c>
      <c r="H27" s="441"/>
      <c r="I27" s="471">
        <f>LOOKUP(Q1,DATOS!A:A,DATOS!P:P)</f>
        <v>46156</v>
      </c>
      <c r="J27" s="471"/>
      <c r="K27" s="471"/>
      <c r="L27" s="471"/>
      <c r="M27" s="471"/>
      <c r="N27" s="471"/>
      <c r="O27" s="471"/>
      <c r="P27" s="9" t="s">
        <v>169</v>
      </c>
      <c r="Q27" s="472">
        <f ca="1">NOW()</f>
        <v>46197.396101620368</v>
      </c>
      <c r="R27" s="472"/>
    </row>
    <row r="36" ht="12.75" customHeight="1" x14ac:dyDescent="0.3"/>
    <row r="37" ht="12.75" customHeight="1" x14ac:dyDescent="0.3"/>
    <row r="38" ht="12.75" customHeight="1" x14ac:dyDescent="0.3"/>
    <row r="39" ht="12.75" customHeight="1" x14ac:dyDescent="0.3"/>
  </sheetData>
  <sheetProtection sheet="1" objects="1" scenarios="1" selectLockedCells="1"/>
  <mergeCells count="53">
    <mergeCell ref="Q1:R1"/>
    <mergeCell ref="M2:O2"/>
    <mergeCell ref="P2:R2"/>
    <mergeCell ref="C5:F5"/>
    <mergeCell ref="H5:K5"/>
    <mergeCell ref="L5:R5"/>
    <mergeCell ref="J3:K3"/>
    <mergeCell ref="N3:O3"/>
    <mergeCell ref="F16:G16"/>
    <mergeCell ref="I27:O27"/>
    <mergeCell ref="F19:G19"/>
    <mergeCell ref="F20:G20"/>
    <mergeCell ref="F18:G18"/>
    <mergeCell ref="K19:L19"/>
    <mergeCell ref="K20:L20"/>
    <mergeCell ref="K17:L17"/>
    <mergeCell ref="K18:L18"/>
    <mergeCell ref="F17:G17"/>
    <mergeCell ref="M17:P17"/>
    <mergeCell ref="M18:P18"/>
    <mergeCell ref="M21:P21"/>
    <mergeCell ref="K25:L25"/>
    <mergeCell ref="M25:R25"/>
    <mergeCell ref="B27:F27"/>
    <mergeCell ref="N13:P13"/>
    <mergeCell ref="F15:G15"/>
    <mergeCell ref="C7:E7"/>
    <mergeCell ref="G7:I7"/>
    <mergeCell ref="L7:Q7"/>
    <mergeCell ref="G8:K8"/>
    <mergeCell ref="N11:P11"/>
    <mergeCell ref="N12:P12"/>
    <mergeCell ref="H9:L9"/>
    <mergeCell ref="O10:Q10"/>
    <mergeCell ref="N14:P14"/>
    <mergeCell ref="F14:G14"/>
    <mergeCell ref="C6:F6"/>
    <mergeCell ref="H6:J6"/>
    <mergeCell ref="L6:Q6"/>
    <mergeCell ref="C8:F8"/>
    <mergeCell ref="L8:Q8"/>
    <mergeCell ref="F21:G21"/>
    <mergeCell ref="M19:P19"/>
    <mergeCell ref="M20:P20"/>
    <mergeCell ref="G27:H27"/>
    <mergeCell ref="M24:R24"/>
    <mergeCell ref="K22:L22"/>
    <mergeCell ref="K23:L23"/>
    <mergeCell ref="K24:L24"/>
    <mergeCell ref="M22:P22"/>
    <mergeCell ref="M23:P23"/>
    <mergeCell ref="K21:L21"/>
    <mergeCell ref="Q27:R27"/>
  </mergeCells>
  <pageMargins left="0.27559055118110237" right="0.19685039370078741" top="0.43307086614173229" bottom="0.98425196850393704" header="0" footer="0"/>
  <pageSetup orientation="portrait" blackAndWhite="1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</sheetPr>
  <dimension ref="A1:IU47"/>
  <sheetViews>
    <sheetView showGridLines="0" view="pageLayout" zoomScale="175" zoomScaleNormal="115" zoomScaleSheetLayoutView="265" zoomScalePageLayoutView="175" workbookViewId="0">
      <selection activeCell="J1" sqref="J1:K1"/>
    </sheetView>
  </sheetViews>
  <sheetFormatPr baseColWidth="10" defaultColWidth="0" defaultRowHeight="0" customHeight="1" zeroHeight="1" x14ac:dyDescent="0.3"/>
  <cols>
    <col min="1" max="1" width="0.44140625" style="7" customWidth="1"/>
    <col min="2" max="2" width="11.109375" style="7" customWidth="1"/>
    <col min="3" max="3" width="5.33203125" style="7" customWidth="1"/>
    <col min="4" max="4" width="2.44140625" style="7" customWidth="1"/>
    <col min="5" max="5" width="4.88671875" style="7" customWidth="1"/>
    <col min="6" max="6" width="5.33203125" style="7" customWidth="1"/>
    <col min="7" max="7" width="7.5546875" style="7" customWidth="1"/>
    <col min="8" max="8" width="6" style="7" customWidth="1"/>
    <col min="9" max="9" width="5.44140625" style="7" customWidth="1"/>
    <col min="10" max="10" width="3.5546875" style="317" customWidth="1"/>
    <col min="11" max="11" width="2" style="7" customWidth="1"/>
    <col min="12" max="19" width="0" style="284" hidden="1" customWidth="1"/>
    <col min="20" max="20" width="4.44140625" style="284" hidden="1" customWidth="1"/>
    <col min="21" max="21" width="1.109375" style="284" hidden="1" customWidth="1"/>
    <col min="22" max="22" width="0.5546875" style="284" hidden="1" customWidth="1"/>
    <col min="23" max="25" width="0.88671875" style="284" hidden="1" customWidth="1"/>
    <col min="26" max="26" width="4.5546875" style="284" hidden="1" customWidth="1"/>
    <col min="27" max="27" width="1.109375" style="284" hidden="1" customWidth="1"/>
    <col min="28" max="28" width="0.5546875" style="284" hidden="1" customWidth="1"/>
    <col min="29" max="31" width="0.88671875" style="284" hidden="1" customWidth="1"/>
    <col min="32" max="32" width="4.5546875" style="284" hidden="1" customWidth="1"/>
    <col min="33" max="37" width="4.44140625" style="284" hidden="1" customWidth="1"/>
    <col min="38" max="38" width="1" style="284" hidden="1" customWidth="1"/>
    <col min="39" max="39" width="0.6640625" style="284" hidden="1" customWidth="1"/>
    <col min="40" max="40" width="3.33203125" style="284" hidden="1" customWidth="1"/>
    <col min="41" max="41" width="0.109375" style="284" hidden="1" customWidth="1"/>
    <col min="42" max="42" width="1.109375" style="284" hidden="1" customWidth="1"/>
    <col min="43" max="43" width="0.5546875" style="284" hidden="1" customWidth="1"/>
    <col min="44" max="46" width="0.88671875" style="284" hidden="1" customWidth="1"/>
    <col min="47" max="47" width="4.5546875" style="284" hidden="1" customWidth="1"/>
    <col min="48" max="48" width="0.5546875" style="284" hidden="1" customWidth="1"/>
    <col min="49" max="51" width="0.88671875" style="284" hidden="1" customWidth="1"/>
    <col min="52" max="52" width="4.5546875" style="284" hidden="1" customWidth="1"/>
    <col min="53" max="53" width="1.109375" style="284" hidden="1" customWidth="1"/>
    <col min="54" max="54" width="0.5546875" style="284" hidden="1" customWidth="1"/>
    <col min="55" max="57" width="0.88671875" style="284" hidden="1" customWidth="1"/>
    <col min="58" max="58" width="4.5546875" style="284" hidden="1" customWidth="1"/>
    <col min="59" max="63" width="4.44140625" style="284" hidden="1" customWidth="1"/>
    <col min="64" max="64" width="1" style="284" hidden="1" customWidth="1"/>
    <col min="65" max="65" width="0.6640625" style="284" hidden="1" customWidth="1"/>
    <col min="66" max="66" width="3.33203125" style="284" hidden="1" customWidth="1"/>
    <col min="67" max="67" width="0.109375" style="284" hidden="1" customWidth="1"/>
    <col min="68" max="68" width="1.109375" style="284" hidden="1" customWidth="1"/>
    <col min="69" max="69" width="0.5546875" style="284" hidden="1" customWidth="1"/>
    <col min="70" max="72" width="0.88671875" style="284" hidden="1" customWidth="1"/>
    <col min="73" max="73" width="4.5546875" style="284" hidden="1" customWidth="1"/>
    <col min="74" max="74" width="0.109375" style="284" hidden="1" customWidth="1"/>
    <col min="75" max="75" width="1.109375" style="284" hidden="1" customWidth="1"/>
    <col min="76" max="76" width="0.5546875" style="284" hidden="1" customWidth="1"/>
    <col min="77" max="79" width="0.88671875" style="284" hidden="1" customWidth="1"/>
    <col min="80" max="80" width="4.5546875" style="284" hidden="1" customWidth="1"/>
    <col min="81" max="81" width="1.109375" style="284" hidden="1" customWidth="1"/>
    <col min="82" max="82" width="0.5546875" style="284" hidden="1" customWidth="1"/>
    <col min="83" max="85" width="0.88671875" style="284" hidden="1" customWidth="1"/>
    <col min="86" max="86" width="4.5546875" style="284" hidden="1" customWidth="1"/>
    <col min="87" max="91" width="4.44140625" style="284" hidden="1" customWidth="1"/>
    <col min="92" max="92" width="1" style="284" hidden="1" customWidth="1"/>
    <col min="93" max="93" width="0.6640625" style="284" hidden="1" customWidth="1"/>
    <col min="94" max="94" width="3.33203125" style="284" hidden="1" customWidth="1"/>
    <col min="95" max="95" width="0.109375" style="284" hidden="1" customWidth="1"/>
    <col min="96" max="96" width="1.109375" style="284" hidden="1" customWidth="1"/>
    <col min="97" max="97" width="0.5546875" style="284" hidden="1" customWidth="1"/>
    <col min="98" max="100" width="0.88671875" style="284" hidden="1" customWidth="1"/>
    <col min="101" max="101" width="4.5546875" style="284" hidden="1" customWidth="1"/>
    <col min="102" max="102" width="0.5546875" style="284" hidden="1" customWidth="1"/>
    <col min="103" max="105" width="0.88671875" style="284" hidden="1" customWidth="1"/>
    <col min="106" max="106" width="4.5546875" style="284" hidden="1" customWidth="1"/>
    <col min="107" max="107" width="1.109375" style="284" hidden="1" customWidth="1"/>
    <col min="108" max="108" width="0.5546875" style="284" hidden="1" customWidth="1"/>
    <col min="109" max="111" width="0.88671875" style="284" hidden="1" customWidth="1"/>
    <col min="112" max="112" width="4.5546875" style="284" hidden="1" customWidth="1"/>
    <col min="113" max="117" width="4.44140625" style="284" hidden="1" customWidth="1"/>
    <col min="118" max="118" width="1" style="284" hidden="1" customWidth="1"/>
    <col min="119" max="119" width="0.6640625" style="284" hidden="1" customWidth="1"/>
    <col min="120" max="120" width="3.33203125" style="284" hidden="1" customWidth="1"/>
    <col min="121" max="121" width="0.109375" style="284" hidden="1" customWidth="1"/>
    <col min="122" max="122" width="1.109375" style="284" hidden="1" customWidth="1"/>
    <col min="123" max="123" width="0.5546875" style="284" hidden="1" customWidth="1"/>
    <col min="124" max="126" width="0.88671875" style="284" hidden="1" customWidth="1"/>
    <col min="127" max="128" width="4.5546875" style="284" hidden="1" customWidth="1"/>
    <col min="129" max="129" width="0.109375" style="284" hidden="1" customWidth="1"/>
    <col min="130" max="130" width="1.109375" style="284" hidden="1" customWidth="1"/>
    <col min="131" max="131" width="0.5546875" style="284" hidden="1" customWidth="1"/>
    <col min="132" max="134" width="0.88671875" style="284" hidden="1" customWidth="1"/>
    <col min="135" max="135" width="4.5546875" style="284" hidden="1" customWidth="1"/>
    <col min="136" max="136" width="1.109375" style="284" hidden="1" customWidth="1"/>
    <col min="137" max="137" width="0.5546875" style="284" hidden="1" customWidth="1"/>
    <col min="138" max="140" width="0.88671875" style="284" hidden="1" customWidth="1"/>
    <col min="141" max="141" width="4.5546875" style="284" hidden="1" customWidth="1"/>
    <col min="142" max="146" width="4.44140625" style="284" hidden="1" customWidth="1"/>
    <col min="147" max="147" width="1" style="284" hidden="1" customWidth="1"/>
    <col min="148" max="148" width="0.6640625" style="284" hidden="1" customWidth="1"/>
    <col min="149" max="149" width="3.33203125" style="284" hidden="1" customWidth="1"/>
    <col min="150" max="150" width="0.109375" style="284" hidden="1" customWidth="1"/>
    <col min="151" max="151" width="1.109375" style="284" hidden="1" customWidth="1"/>
    <col min="152" max="152" width="0.5546875" style="284" hidden="1" customWidth="1"/>
    <col min="153" max="155" width="0.88671875" style="284" hidden="1" customWidth="1"/>
    <col min="156" max="156" width="4.5546875" style="284" hidden="1" customWidth="1"/>
    <col min="157" max="157" width="0.5546875" style="284" hidden="1" customWidth="1"/>
    <col min="158" max="160" width="0.88671875" style="284" hidden="1" customWidth="1"/>
    <col min="161" max="161" width="4.5546875" style="284" hidden="1" customWidth="1"/>
    <col min="162" max="162" width="1.109375" style="284" hidden="1" customWidth="1"/>
    <col min="163" max="163" width="0.5546875" style="284" hidden="1" customWidth="1"/>
    <col min="164" max="166" width="0.88671875" style="284" hidden="1" customWidth="1"/>
    <col min="167" max="167" width="4.5546875" style="284" hidden="1" customWidth="1"/>
    <col min="168" max="172" width="4.44140625" style="284" hidden="1" customWidth="1"/>
    <col min="173" max="173" width="1" style="284" hidden="1" customWidth="1"/>
    <col min="174" max="174" width="0.6640625" style="284" hidden="1" customWidth="1"/>
    <col min="175" max="175" width="3.33203125" style="284" hidden="1" customWidth="1"/>
    <col min="176" max="176" width="0.109375" style="284" hidden="1" customWidth="1"/>
    <col min="177" max="177" width="1.109375" style="284" hidden="1" customWidth="1"/>
    <col min="178" max="178" width="0.5546875" style="284" hidden="1" customWidth="1"/>
    <col min="179" max="181" width="0.88671875" style="284" hidden="1" customWidth="1"/>
    <col min="182" max="182" width="4.5546875" style="284" hidden="1" customWidth="1"/>
    <col min="183" max="187" width="4.44140625" style="284" hidden="1" customWidth="1"/>
    <col min="188" max="188" width="1" style="284" hidden="1" customWidth="1"/>
    <col min="189" max="189" width="0.6640625" style="284" hidden="1" customWidth="1"/>
    <col min="190" max="190" width="3.33203125" style="284" hidden="1" customWidth="1"/>
    <col min="191" max="191" width="0.109375" style="284" hidden="1" customWidth="1"/>
    <col min="192" max="192" width="1.109375" style="284" hidden="1" customWidth="1"/>
    <col min="193" max="193" width="0.5546875" style="284" hidden="1" customWidth="1"/>
    <col min="194" max="196" width="0.88671875" style="284" hidden="1" customWidth="1"/>
    <col min="197" max="198" width="4.5546875" style="284" hidden="1" customWidth="1"/>
    <col min="199" max="199" width="0.109375" style="284" hidden="1" customWidth="1"/>
    <col min="200" max="200" width="1.109375" style="284" hidden="1" customWidth="1"/>
    <col min="201" max="201" width="0.5546875" style="284" hidden="1" customWidth="1"/>
    <col min="202" max="204" width="0.88671875" style="284" hidden="1" customWidth="1"/>
    <col min="205" max="205" width="4.5546875" style="284" hidden="1" customWidth="1"/>
    <col min="206" max="206" width="1.109375" style="284" hidden="1" customWidth="1"/>
    <col min="207" max="207" width="0.5546875" style="284" hidden="1" customWidth="1"/>
    <col min="208" max="210" width="0.88671875" style="284" hidden="1" customWidth="1"/>
    <col min="211" max="211" width="4.5546875" style="284" hidden="1" customWidth="1"/>
    <col min="212" max="216" width="4.44140625" style="284" hidden="1" customWidth="1"/>
    <col min="217" max="217" width="1" style="284" hidden="1" customWidth="1"/>
    <col min="218" max="218" width="0.6640625" style="284" hidden="1" customWidth="1"/>
    <col min="219" max="219" width="3.33203125" style="284" hidden="1" customWidth="1"/>
    <col min="220" max="220" width="0.109375" style="284" hidden="1" customWidth="1"/>
    <col min="221" max="221" width="1.109375" style="284" hidden="1" customWidth="1"/>
    <col min="222" max="222" width="0.5546875" style="284" hidden="1" customWidth="1"/>
    <col min="223" max="225" width="0.88671875" style="284" hidden="1" customWidth="1"/>
    <col min="226" max="226" width="4.5546875" style="284" hidden="1" customWidth="1"/>
    <col min="227" max="227" width="0.5546875" style="284" hidden="1" customWidth="1"/>
    <col min="228" max="230" width="0.88671875" style="284" hidden="1" customWidth="1"/>
    <col min="231" max="231" width="4.5546875" style="284" hidden="1" customWidth="1"/>
    <col min="232" max="232" width="1.109375" style="284" hidden="1" customWidth="1"/>
    <col min="233" max="233" width="0.5546875" style="284" hidden="1" customWidth="1"/>
    <col min="234" max="236" width="0.88671875" style="284" hidden="1" customWidth="1"/>
    <col min="237" max="237" width="4.5546875" style="284" hidden="1" customWidth="1"/>
    <col min="238" max="242" width="4.44140625" style="284" hidden="1" customWidth="1"/>
    <col min="243" max="243" width="1" style="284" hidden="1" customWidth="1"/>
    <col min="244" max="244" width="0.6640625" style="284" hidden="1" customWidth="1"/>
    <col min="245" max="245" width="3.33203125" style="284" hidden="1" customWidth="1"/>
    <col min="246" max="246" width="0.109375" style="284" hidden="1" customWidth="1"/>
    <col min="247" max="247" width="1.109375" style="284" hidden="1" customWidth="1"/>
    <col min="248" max="248" width="0.5546875" style="284" hidden="1" customWidth="1"/>
    <col min="249" max="251" width="0.88671875" style="284" hidden="1" customWidth="1"/>
    <col min="252" max="252" width="4.5546875" style="284" hidden="1" customWidth="1"/>
    <col min="253" max="255" width="0.88671875" style="284" hidden="1" customWidth="1"/>
    <col min="256" max="16384" width="4" style="284" hidden="1"/>
  </cols>
  <sheetData>
    <row r="1" spans="1:12" ht="24.75" customHeight="1" x14ac:dyDescent="0.35">
      <c r="B1" s="599" t="s">
        <v>429</v>
      </c>
      <c r="C1" s="599"/>
      <c r="D1" s="599"/>
      <c r="E1" s="599"/>
      <c r="F1" s="599"/>
      <c r="G1" s="599"/>
      <c r="H1" s="599"/>
      <c r="I1" s="599"/>
      <c r="J1" s="600">
        <v>100</v>
      </c>
      <c r="K1" s="601"/>
    </row>
    <row r="2" spans="1:12" ht="12.75" customHeight="1" x14ac:dyDescent="0.3">
      <c r="B2" s="602" t="s">
        <v>429</v>
      </c>
      <c r="C2" s="602"/>
      <c r="D2" s="602"/>
      <c r="E2" s="602"/>
      <c r="F2" s="602"/>
      <c r="G2" s="602"/>
      <c r="H2" s="602"/>
      <c r="I2" s="602"/>
      <c r="J2" s="602"/>
      <c r="K2" s="603"/>
    </row>
    <row r="3" spans="1:12" s="285" customFormat="1" ht="11.25" customHeight="1" x14ac:dyDescent="0.3">
      <c r="B3" s="604">
        <f>LOOKUP(J1,DATOS!A:A,DATOS!B:B)</f>
        <v>100</v>
      </c>
      <c r="C3" s="606" t="s">
        <v>430</v>
      </c>
      <c r="D3" s="606"/>
      <c r="E3" s="606"/>
      <c r="F3" s="606"/>
      <c r="G3" s="606"/>
      <c r="H3" s="286" t="s">
        <v>431</v>
      </c>
      <c r="I3" s="607">
        <f>LOOKUP(J1,DATOS!A:A,DATOS!J:J)</f>
        <v>0</v>
      </c>
      <c r="J3" s="607"/>
      <c r="K3" s="607"/>
    </row>
    <row r="4" spans="1:12" ht="11.25" customHeight="1" x14ac:dyDescent="0.3">
      <c r="B4" s="605"/>
      <c r="C4" s="608" t="s">
        <v>432</v>
      </c>
      <c r="D4" s="608"/>
      <c r="E4" s="608"/>
      <c r="F4" s="608"/>
      <c r="G4" s="608"/>
      <c r="H4" s="287" t="s">
        <v>433</v>
      </c>
      <c r="I4" s="45">
        <f>LOOKUP(J1,DATOS!A:A,DATOS!K:K)</f>
        <v>0</v>
      </c>
      <c r="J4" s="69"/>
      <c r="K4" s="288"/>
    </row>
    <row r="5" spans="1:12" ht="13.5" customHeight="1" x14ac:dyDescent="0.3">
      <c r="A5" s="289"/>
      <c r="B5" s="591" t="s">
        <v>434</v>
      </c>
      <c r="C5" s="591"/>
      <c r="D5" s="592" t="str">
        <f>LOOKUP(J1,DATOS!A:A,DATOS!G:G)</f>
        <v xml:space="preserve">  </v>
      </c>
      <c r="E5" s="592"/>
      <c r="F5" s="592"/>
      <c r="G5" s="592"/>
      <c r="H5" s="592"/>
      <c r="I5" s="290" t="s">
        <v>435</v>
      </c>
      <c r="J5" s="291">
        <f>LOOKUP(J1,DATOS!A:A,DATOS!H:H)</f>
        <v>0</v>
      </c>
      <c r="K5" s="292" t="s">
        <v>436</v>
      </c>
    </row>
    <row r="6" spans="1:12" ht="13.5" customHeight="1" x14ac:dyDescent="0.3">
      <c r="A6" s="289"/>
      <c r="B6" s="591" t="s">
        <v>437</v>
      </c>
      <c r="C6" s="591"/>
      <c r="D6" s="593">
        <f>LOOKUP(J1,DATOS!A:A,DATOS!O:O)</f>
        <v>0</v>
      </c>
      <c r="E6" s="593"/>
      <c r="F6" s="593"/>
      <c r="G6" s="593"/>
      <c r="H6" s="293" t="s">
        <v>438</v>
      </c>
      <c r="I6" s="294">
        <f>LOOKUP(J1,DATOS!A:A,DATOS!I:I)</f>
        <v>0</v>
      </c>
      <c r="J6" s="294"/>
      <c r="K6" s="292"/>
    </row>
    <row r="7" spans="1:12" ht="12.75" customHeight="1" x14ac:dyDescent="0.3">
      <c r="A7" s="289"/>
      <c r="B7" s="293" t="s">
        <v>439</v>
      </c>
      <c r="C7" s="594">
        <f>LOOKUP(J1,DATOS!A:A,DATOS!N:N)</f>
        <v>0</v>
      </c>
      <c r="D7" s="594"/>
      <c r="E7" s="594"/>
      <c r="F7" s="293"/>
      <c r="G7" s="595" t="s">
        <v>457</v>
      </c>
      <c r="H7" s="595"/>
      <c r="I7" s="294">
        <f>LOOKUP(J1,DATOS!A:A,DATOS!M:M)</f>
        <v>0</v>
      </c>
      <c r="J7" s="295"/>
      <c r="K7" s="292"/>
    </row>
    <row r="8" spans="1:12" ht="6.75" customHeight="1" x14ac:dyDescent="0.3">
      <c r="A8" s="8"/>
      <c r="B8" s="296"/>
      <c r="C8" s="296"/>
      <c r="D8" s="296"/>
      <c r="H8" s="296"/>
      <c r="I8" s="296"/>
      <c r="J8" s="296"/>
      <c r="K8" s="297"/>
    </row>
    <row r="9" spans="1:12" ht="13.5" customHeight="1" x14ac:dyDescent="0.3">
      <c r="A9" s="8"/>
      <c r="C9" s="596" t="s">
        <v>440</v>
      </c>
      <c r="D9" s="596"/>
      <c r="E9" s="596"/>
      <c r="F9" s="597">
        <f>LOOKUP(J1,DATOS!A:A,DATOS!ED:ED)</f>
        <v>0</v>
      </c>
      <c r="G9" s="597"/>
      <c r="H9" s="597"/>
      <c r="I9" s="8"/>
      <c r="J9" s="298"/>
      <c r="K9" s="8"/>
    </row>
    <row r="10" spans="1:12" ht="9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299"/>
    </row>
    <row r="11" spans="1:12" s="302" customFormat="1" ht="12" customHeight="1" x14ac:dyDescent="0.3">
      <c r="A11" s="8"/>
      <c r="B11" s="598" t="s">
        <v>441</v>
      </c>
      <c r="C11" s="598"/>
      <c r="D11" s="598"/>
      <c r="E11" s="598"/>
      <c r="F11" s="598"/>
      <c r="G11" s="300"/>
      <c r="H11" s="8"/>
      <c r="I11" s="8"/>
      <c r="J11" s="8"/>
      <c r="K11" s="8"/>
      <c r="L11" s="301"/>
    </row>
    <row r="12" spans="1:12" s="302" customFormat="1" ht="13.5" customHeight="1" x14ac:dyDescent="0.3">
      <c r="A12" s="8"/>
      <c r="B12" s="8"/>
      <c r="C12" s="566" t="s">
        <v>442</v>
      </c>
      <c r="D12" s="566"/>
      <c r="E12" s="566"/>
      <c r="F12" s="581">
        <f>LOOKUP(J1,DATOS!A:A,DATOS!EE:EE)</f>
        <v>0</v>
      </c>
      <c r="G12" s="581"/>
      <c r="H12" s="303" t="s">
        <v>390</v>
      </c>
      <c r="I12" s="8"/>
      <c r="J12" s="8"/>
      <c r="K12" s="8"/>
      <c r="L12" s="301"/>
    </row>
    <row r="13" spans="1:12" s="302" customFormat="1" ht="9.75" customHeight="1" x14ac:dyDescent="0.3">
      <c r="A13" s="8"/>
      <c r="B13" s="8"/>
      <c r="C13" s="566" t="s">
        <v>124</v>
      </c>
      <c r="D13" s="566"/>
      <c r="E13" s="566"/>
      <c r="F13" s="590">
        <f>LOOKUP(J1,DATOS!A:A,DATOS!EF:EF)</f>
        <v>0</v>
      </c>
      <c r="G13" s="590"/>
      <c r="H13" s="590"/>
      <c r="I13" s="590"/>
      <c r="J13" s="8"/>
      <c r="K13" s="8"/>
      <c r="L13" s="301"/>
    </row>
    <row r="14" spans="1:12" s="302" customFormat="1" ht="9.75" customHeight="1" x14ac:dyDescent="0.3">
      <c r="A14" s="8"/>
      <c r="B14" s="8"/>
      <c r="C14" s="566" t="s">
        <v>443</v>
      </c>
      <c r="D14" s="566"/>
      <c r="E14" s="566"/>
      <c r="F14" s="587">
        <f>LOOKUP(J1,DATOS!A:A,DATOS!EG:EG)</f>
        <v>0</v>
      </c>
      <c r="G14" s="587"/>
      <c r="H14" s="303"/>
      <c r="I14" s="8"/>
      <c r="J14" s="8"/>
      <c r="K14" s="8"/>
      <c r="L14" s="301"/>
    </row>
    <row r="15" spans="1:12" s="302" customFormat="1" ht="9.75" customHeight="1" x14ac:dyDescent="0.3">
      <c r="A15" s="8"/>
      <c r="B15" s="8"/>
      <c r="C15" s="566" t="s">
        <v>444</v>
      </c>
      <c r="D15" s="566"/>
      <c r="E15" s="566"/>
      <c r="F15" s="588">
        <f>LOOKUP(J1,DATOS!A:A,DATOS!EH:EH)</f>
        <v>0</v>
      </c>
      <c r="G15" s="588"/>
      <c r="H15" s="303"/>
      <c r="I15" s="8"/>
      <c r="J15" s="8"/>
      <c r="K15" s="8"/>
      <c r="L15" s="301"/>
    </row>
    <row r="16" spans="1:12" s="302" customFormat="1" ht="9.75" customHeight="1" x14ac:dyDescent="0.3">
      <c r="A16" s="8"/>
      <c r="B16" s="8"/>
      <c r="C16" s="566" t="s">
        <v>445</v>
      </c>
      <c r="D16" s="566"/>
      <c r="E16" s="566"/>
      <c r="F16" s="589">
        <f>LOOKUP(J1,DATOS!A:A,DATOS!EI:EI)</f>
        <v>0</v>
      </c>
      <c r="G16" s="589"/>
      <c r="H16" s="303"/>
      <c r="I16" s="8"/>
      <c r="J16" s="8"/>
      <c r="K16" s="8"/>
      <c r="L16" s="301"/>
    </row>
    <row r="17" spans="1:12" s="302" customFormat="1" ht="9.75" customHeight="1" x14ac:dyDescent="0.3">
      <c r="A17" s="8"/>
      <c r="B17" s="8"/>
      <c r="C17" s="566" t="s">
        <v>446</v>
      </c>
      <c r="D17" s="566"/>
      <c r="E17" s="566"/>
      <c r="F17" s="581">
        <f>LOOKUP(J1,DATOS!A:A,DATOS!EJ:EJ)</f>
        <v>0</v>
      </c>
      <c r="G17" s="581"/>
      <c r="H17" s="581"/>
      <c r="I17" s="8"/>
      <c r="J17" s="8"/>
      <c r="K17" s="8"/>
      <c r="L17" s="301"/>
    </row>
    <row r="18" spans="1:12" s="302" customFormat="1" ht="9.75" customHeight="1" x14ac:dyDescent="0.3">
      <c r="A18" s="8"/>
      <c r="B18" s="8"/>
      <c r="C18" s="45"/>
      <c r="D18" s="45"/>
      <c r="E18" s="45"/>
      <c r="F18" s="8"/>
      <c r="G18" s="8"/>
      <c r="H18" s="8"/>
      <c r="I18" s="8"/>
      <c r="J18" s="8"/>
      <c r="K18" s="8"/>
      <c r="L18" s="301"/>
    </row>
    <row r="19" spans="1:12" s="302" customFormat="1" ht="9.75" customHeight="1" x14ac:dyDescent="0.3">
      <c r="A19" s="8"/>
      <c r="B19" s="8"/>
      <c r="C19" s="582" t="s">
        <v>447</v>
      </c>
      <c r="D19" s="582"/>
      <c r="E19" s="582"/>
      <c r="F19" s="582"/>
      <c r="G19" s="582"/>
      <c r="H19" s="582"/>
      <c r="I19" s="8"/>
      <c r="J19" s="8"/>
      <c r="K19" s="8"/>
      <c r="L19" s="301"/>
    </row>
    <row r="20" spans="1:12" s="302" customFormat="1" ht="13.5" customHeight="1" x14ac:dyDescent="0.3">
      <c r="A20" s="8"/>
      <c r="B20" s="8"/>
      <c r="C20" s="583">
        <f>LOOKUP(J1,DATOS!A:A,DATOS!EK:EK)</f>
        <v>0</v>
      </c>
      <c r="D20" s="584"/>
      <c r="E20" s="584"/>
      <c r="F20" s="584"/>
      <c r="G20" s="584"/>
      <c r="H20" s="584"/>
      <c r="I20" s="584"/>
      <c r="J20" s="8"/>
      <c r="K20" s="8"/>
      <c r="L20" s="301"/>
    </row>
    <row r="21" spans="1:12" s="302" customFormat="1" ht="13.5" customHeight="1" x14ac:dyDescent="0.3">
      <c r="A21" s="8"/>
      <c r="B21" s="8"/>
      <c r="C21" s="566" t="s">
        <v>124</v>
      </c>
      <c r="D21" s="566"/>
      <c r="E21" s="566"/>
      <c r="F21" s="585">
        <f>LOOKUP(J1,DATOS!A:A,DATOS!EL:EL)</f>
        <v>0</v>
      </c>
      <c r="G21" s="585"/>
      <c r="H21" s="8"/>
      <c r="I21" s="8"/>
      <c r="J21" s="8"/>
      <c r="K21" s="8"/>
      <c r="L21" s="301"/>
    </row>
    <row r="22" spans="1:12" s="302" customFormat="1" ht="9.75" customHeight="1" x14ac:dyDescent="0.3">
      <c r="A22" s="8"/>
      <c r="B22" s="8"/>
      <c r="C22" s="566" t="s">
        <v>443</v>
      </c>
      <c r="D22" s="566"/>
      <c r="E22" s="566"/>
      <c r="F22" s="586">
        <f>LOOKUP(J1,DATOS!A:A,DATOS!EM:EM)</f>
        <v>0</v>
      </c>
      <c r="G22" s="586"/>
      <c r="H22" s="8"/>
      <c r="I22" s="8"/>
      <c r="J22" s="8"/>
      <c r="K22" s="8"/>
      <c r="L22" s="301"/>
    </row>
    <row r="23" spans="1:12" s="302" customFormat="1" ht="9.75" customHeight="1" x14ac:dyDescent="0.3">
      <c r="A23" s="8"/>
      <c r="B23" s="8"/>
      <c r="C23" s="304"/>
      <c r="D23"/>
      <c r="E23"/>
      <c r="F23" s="8"/>
      <c r="G23" s="8"/>
      <c r="H23" s="8"/>
      <c r="I23" s="8"/>
      <c r="J23" s="8"/>
      <c r="K23" s="8"/>
      <c r="L23" s="301"/>
    </row>
    <row r="24" spans="1:12" s="302" customFormat="1" ht="9.75" customHeight="1" x14ac:dyDescent="0.3">
      <c r="A24" s="8"/>
      <c r="B24" s="568" t="s">
        <v>101</v>
      </c>
      <c r="C24" s="568"/>
      <c r="D24" s="568"/>
      <c r="E24" s="568"/>
      <c r="F24" s="568"/>
      <c r="G24" s="568"/>
      <c r="H24" s="8"/>
      <c r="I24" s="8"/>
      <c r="J24" s="8"/>
      <c r="K24" s="8"/>
      <c r="L24" s="301"/>
    </row>
    <row r="25" spans="1:12" s="302" customFormat="1" ht="15.75" customHeight="1" x14ac:dyDescent="0.3">
      <c r="A25" s="8"/>
      <c r="B25" s="8"/>
      <c r="C25" s="566" t="s">
        <v>448</v>
      </c>
      <c r="D25" s="566"/>
      <c r="E25" s="566"/>
      <c r="F25" s="570">
        <f>LOOKUP(J1,DATOS!A:A,DATOS!EN:EN)</f>
        <v>0</v>
      </c>
      <c r="G25" s="570"/>
      <c r="H25" s="303" t="s">
        <v>114</v>
      </c>
      <c r="I25" s="8"/>
      <c r="J25" s="8"/>
      <c r="K25" s="8"/>
      <c r="L25" s="301"/>
    </row>
    <row r="26" spans="1:12" s="302" customFormat="1" ht="9.75" customHeight="1" x14ac:dyDescent="0.3">
      <c r="A26" s="8"/>
      <c r="B26" s="8"/>
      <c r="C26" s="566" t="s">
        <v>449</v>
      </c>
      <c r="D26" s="566"/>
      <c r="E26" s="566"/>
      <c r="F26" s="579">
        <f>LOOKUP(J1,DATOS!A:A,DATOS!EO:EO)</f>
        <v>0</v>
      </c>
      <c r="G26" s="579"/>
      <c r="H26" s="303" t="s">
        <v>120</v>
      </c>
      <c r="I26" s="8"/>
      <c r="J26" s="8"/>
      <c r="K26" s="8"/>
      <c r="L26" s="301"/>
    </row>
    <row r="27" spans="1:12" s="302" customFormat="1" ht="9.75" customHeight="1" x14ac:dyDescent="0.3">
      <c r="A27" s="8"/>
      <c r="B27" s="8"/>
      <c r="C27" s="385"/>
      <c r="D27" s="385"/>
      <c r="E27" s="385" t="s">
        <v>455</v>
      </c>
      <c r="F27" s="579">
        <f>LOOKUP(J1,DATOS!A:A,DATOS!EP:EP)</f>
        <v>0</v>
      </c>
      <c r="G27" s="579"/>
      <c r="H27" s="579"/>
      <c r="I27" s="579"/>
      <c r="J27" s="8"/>
      <c r="K27" s="8"/>
      <c r="L27" s="301"/>
    </row>
    <row r="28" spans="1:12" s="302" customFormat="1" ht="9.75" customHeight="1" x14ac:dyDescent="0.3">
      <c r="A28" s="8"/>
      <c r="B28" s="8"/>
      <c r="C28" s="305"/>
      <c r="D28"/>
      <c r="E28"/>
      <c r="F28" s="8"/>
      <c r="G28" s="8"/>
      <c r="H28" s="8"/>
      <c r="I28" s="8"/>
      <c r="J28" s="8"/>
      <c r="K28" s="8"/>
      <c r="L28" s="301"/>
    </row>
    <row r="29" spans="1:12" s="302" customFormat="1" ht="12" customHeight="1" x14ac:dyDescent="0.3">
      <c r="A29" s="8"/>
      <c r="B29" s="568" t="s">
        <v>450</v>
      </c>
      <c r="C29" s="568"/>
      <c r="D29" s="568"/>
      <c r="E29" s="568"/>
      <c r="F29" s="568"/>
      <c r="G29" s="568"/>
      <c r="H29" s="568"/>
      <c r="I29" s="568"/>
      <c r="J29" s="568"/>
      <c r="K29" s="8"/>
      <c r="L29" s="301"/>
    </row>
    <row r="30" spans="1:12" s="302" customFormat="1" ht="15" customHeight="1" x14ac:dyDescent="0.3">
      <c r="A30" s="8"/>
      <c r="B30" s="303"/>
      <c r="C30" s="569" t="s">
        <v>407</v>
      </c>
      <c r="D30" s="569"/>
      <c r="E30" s="569"/>
      <c r="F30" s="570">
        <f>LOOKUP(J1,DATOS!A:A,DATOS!EQ:EQ)</f>
        <v>0</v>
      </c>
      <c r="G30" s="570"/>
      <c r="H30" s="306" t="s">
        <v>451</v>
      </c>
      <c r="I30" s="8"/>
      <c r="J30" s="8"/>
      <c r="K30" s="8"/>
      <c r="L30" s="301"/>
    </row>
    <row r="31" spans="1:12" s="302" customFormat="1" ht="9.75" customHeight="1" x14ac:dyDescent="0.3">
      <c r="A31" s="8"/>
      <c r="B31" s="303"/>
      <c r="C31" s="566" t="s">
        <v>127</v>
      </c>
      <c r="D31" s="566"/>
      <c r="E31" s="566"/>
      <c r="F31" s="580">
        <f>LOOKUP(J1,DATOS!A:A,DATOS!ER:ER)</f>
        <v>0</v>
      </c>
      <c r="G31" s="580"/>
      <c r="H31" s="306" t="s">
        <v>118</v>
      </c>
      <c r="I31" s="8"/>
      <c r="J31" s="8"/>
      <c r="K31" s="8"/>
      <c r="L31" s="301"/>
    </row>
    <row r="32" spans="1:12" s="302" customFormat="1" ht="9.75" customHeight="1" x14ac:dyDescent="0.3">
      <c r="A32" s="8"/>
      <c r="B32" s="303"/>
      <c r="C32" s="566" t="s">
        <v>128</v>
      </c>
      <c r="D32" s="566"/>
      <c r="E32" s="566"/>
      <c r="F32" s="580">
        <f>LOOKUP(J1,DATOS!A:A,DATOS!ES:ES)</f>
        <v>0</v>
      </c>
      <c r="G32" s="580"/>
      <c r="H32" s="306" t="s">
        <v>118</v>
      </c>
      <c r="I32" s="8"/>
      <c r="J32" s="8"/>
      <c r="K32" s="8"/>
      <c r="L32" s="301"/>
    </row>
    <row r="33" spans="1:12" s="302" customFormat="1" ht="9.75" customHeight="1" x14ac:dyDescent="0.3">
      <c r="A33" s="8"/>
      <c r="B33" s="572" t="s">
        <v>116</v>
      </c>
      <c r="C33" s="572"/>
      <c r="D33" s="572"/>
      <c r="E33" s="572"/>
      <c r="F33" s="573">
        <f>LOOKUP(J1,DATOS!A:A,DATOS!ET:ET)</f>
        <v>0</v>
      </c>
      <c r="G33" s="573"/>
      <c r="H33" s="573"/>
      <c r="I33" s="573"/>
      <c r="J33" s="573"/>
      <c r="K33" s="573"/>
      <c r="L33" s="301"/>
    </row>
    <row r="34" spans="1:12" s="302" customFormat="1" ht="9.75" customHeight="1" x14ac:dyDescent="0.3">
      <c r="A34" s="8"/>
      <c r="B34" s="8"/>
      <c r="C34" s="307"/>
      <c r="D34"/>
      <c r="E34"/>
      <c r="F34" s="8"/>
      <c r="G34" s="8"/>
      <c r="H34" s="8"/>
      <c r="I34" s="8"/>
      <c r="J34" s="8"/>
      <c r="K34" s="8"/>
      <c r="L34" s="301"/>
    </row>
    <row r="35" spans="1:12" s="302" customFormat="1" ht="10.5" customHeight="1" x14ac:dyDescent="0.3">
      <c r="A35" s="8"/>
      <c r="B35" s="568" t="s">
        <v>452</v>
      </c>
      <c r="C35" s="568"/>
      <c r="D35" s="568"/>
      <c r="E35" s="568"/>
      <c r="F35" s="568"/>
      <c r="G35" s="568"/>
      <c r="H35" s="568"/>
      <c r="I35" s="568"/>
      <c r="J35" s="568"/>
      <c r="K35" s="8"/>
      <c r="L35" s="301"/>
    </row>
    <row r="36" spans="1:12" s="302" customFormat="1" ht="5.25" customHeight="1" x14ac:dyDescent="0.3">
      <c r="A36" s="8"/>
      <c r="B36" s="8"/>
      <c r="C36" s="308"/>
      <c r="D36"/>
      <c r="E36"/>
      <c r="F36" s="8"/>
      <c r="G36" s="8"/>
      <c r="H36" s="8"/>
      <c r="I36" s="8"/>
      <c r="J36" s="8"/>
      <c r="K36" s="8"/>
      <c r="L36" s="301"/>
    </row>
    <row r="37" spans="1:12" s="302" customFormat="1" ht="12" customHeight="1" x14ac:dyDescent="0.3">
      <c r="A37" s="8"/>
      <c r="B37" s="8"/>
      <c r="C37" s="566" t="s">
        <v>407</v>
      </c>
      <c r="D37" s="566"/>
      <c r="E37" s="566"/>
      <c r="F37" s="571">
        <f>LOOKUP(J1,DATOS!A:A,DATOS!EU:EU)</f>
        <v>0</v>
      </c>
      <c r="G37" s="571"/>
      <c r="H37" s="309" t="s">
        <v>453</v>
      </c>
      <c r="I37" s="8"/>
      <c r="J37" s="8"/>
      <c r="K37" s="8"/>
      <c r="L37" s="301"/>
    </row>
    <row r="38" spans="1:12" s="302" customFormat="1" ht="12" customHeight="1" x14ac:dyDescent="0.3">
      <c r="A38" s="8"/>
      <c r="B38" s="8"/>
      <c r="C38" s="566" t="s">
        <v>454</v>
      </c>
      <c r="D38" s="566"/>
      <c r="E38" s="566"/>
      <c r="F38" s="567">
        <f>LOOKUP(J1,DATOS!A:A,DATOS!EV:EV)</f>
        <v>0</v>
      </c>
      <c r="G38" s="567"/>
      <c r="H38" s="309" t="s">
        <v>453</v>
      </c>
      <c r="I38" s="8"/>
      <c r="J38" s="8"/>
      <c r="K38" s="8"/>
      <c r="L38" s="301"/>
    </row>
    <row r="39" spans="1:12" s="302" customFormat="1" ht="12" customHeight="1" x14ac:dyDescent="0.3">
      <c r="A39" s="8"/>
      <c r="B39" s="8"/>
      <c r="C39" s="566" t="s">
        <v>409</v>
      </c>
      <c r="D39" s="566"/>
      <c r="E39" s="566"/>
      <c r="F39" s="576">
        <f>LOOKUP(J1,DATOS!A:A,DATOS!EW:EW)</f>
        <v>0</v>
      </c>
      <c r="G39" s="576"/>
      <c r="H39" s="8"/>
      <c r="I39" s="8"/>
      <c r="J39" s="8"/>
      <c r="K39" s="8"/>
      <c r="L39" s="301"/>
    </row>
    <row r="40" spans="1:12" s="302" customFormat="1" ht="12" customHeight="1" x14ac:dyDescent="0.3">
      <c r="A40" s="8"/>
      <c r="B40" s="8"/>
      <c r="C40" s="572" t="s">
        <v>455</v>
      </c>
      <c r="D40" s="572"/>
      <c r="E40" s="572"/>
      <c r="F40" s="571">
        <f>LOOKUP(J1,DATOS!A:A,DATOS!EX:EX)</f>
        <v>0</v>
      </c>
      <c r="G40" s="571"/>
      <c r="H40" s="571"/>
      <c r="I40" s="571"/>
      <c r="J40" s="571"/>
      <c r="K40" s="571"/>
      <c r="L40" s="301"/>
    </row>
    <row r="41" spans="1:12" s="302" customFormat="1" ht="9.7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301"/>
    </row>
    <row r="42" spans="1:12" s="302" customFormat="1" ht="9.7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301"/>
    </row>
    <row r="43" spans="1:12" s="302" customFormat="1" ht="9.7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301"/>
    </row>
    <row r="44" spans="1:12" s="8" customFormat="1" ht="7.5" customHeight="1" x14ac:dyDescent="0.3">
      <c r="A44" s="310"/>
      <c r="B44" s="577"/>
      <c r="C44" s="577"/>
      <c r="D44" s="577"/>
      <c r="E44" s="578"/>
      <c r="F44" s="578"/>
      <c r="G44" s="578"/>
      <c r="H44" s="578"/>
      <c r="I44" s="578"/>
      <c r="J44" s="578"/>
      <c r="K44" s="578"/>
    </row>
    <row r="45" spans="1:12" s="8" customFormat="1" ht="13.5" customHeight="1" x14ac:dyDescent="0.3">
      <c r="A45" s="310"/>
      <c r="B45" s="311"/>
      <c r="C45" s="311"/>
      <c r="D45" s="311"/>
      <c r="E45" s="312"/>
      <c r="F45" s="312"/>
      <c r="G45" s="312"/>
      <c r="H45" s="312"/>
      <c r="I45" s="312"/>
      <c r="J45" s="312"/>
      <c r="K45" s="312"/>
    </row>
    <row r="46" spans="1:12" s="316" customFormat="1" ht="13.5" customHeight="1" x14ac:dyDescent="0.3">
      <c r="A46" s="313"/>
      <c r="B46" s="7"/>
      <c r="C46" s="7"/>
      <c r="D46" s="7"/>
      <c r="E46" s="7"/>
      <c r="F46" s="314" t="s">
        <v>456</v>
      </c>
      <c r="G46" s="7"/>
      <c r="H46" s="7"/>
      <c r="I46" s="7"/>
      <c r="J46" s="315"/>
      <c r="K46" s="314"/>
    </row>
    <row r="47" spans="1:12" ht="12.75" customHeight="1" x14ac:dyDescent="0.3">
      <c r="B47" s="574" t="s">
        <v>385</v>
      </c>
      <c r="C47" s="574"/>
      <c r="D47" s="574"/>
      <c r="E47" s="575">
        <f>LOOKUP(J1,DATOS!A:A,DATOS!P:P)</f>
        <v>0</v>
      </c>
      <c r="F47" s="575"/>
      <c r="G47" s="575"/>
      <c r="H47" s="575"/>
      <c r="I47" s="9" t="s">
        <v>110</v>
      </c>
      <c r="J47" s="463">
        <f ca="1">NOW()</f>
        <v>46197.396101620368</v>
      </c>
      <c r="K47" s="463"/>
    </row>
  </sheetData>
  <sheetProtection algorithmName="SHA-512" hashValue="AiIRqd1uyaeUkogAVWdyUABbXz815l+zDfkizBJ4IT9FW7pVpZsMA5lbpj2pFcaiYXGHPBRwckzX/mROWPypVQ==" saltValue="4wmOs2zKXUHSRf2xKahmtg==" spinCount="100000" sheet="1" objects="1" scenarios="1" selectLockedCells="1" pivotTables="0"/>
  <mergeCells count="63">
    <mergeCell ref="B1:I1"/>
    <mergeCell ref="J1:K1"/>
    <mergeCell ref="B2:K2"/>
    <mergeCell ref="B3:B4"/>
    <mergeCell ref="C3:G3"/>
    <mergeCell ref="I3:K3"/>
    <mergeCell ref="C4:G4"/>
    <mergeCell ref="C13:E13"/>
    <mergeCell ref="F13:I13"/>
    <mergeCell ref="B5:C5"/>
    <mergeCell ref="D5:H5"/>
    <mergeCell ref="B6:C6"/>
    <mergeCell ref="D6:G6"/>
    <mergeCell ref="C7:E7"/>
    <mergeCell ref="G7:H7"/>
    <mergeCell ref="C9:E9"/>
    <mergeCell ref="F9:H9"/>
    <mergeCell ref="B11:F11"/>
    <mergeCell ref="C12:E12"/>
    <mergeCell ref="F12:G12"/>
    <mergeCell ref="C14:E14"/>
    <mergeCell ref="F14:G14"/>
    <mergeCell ref="C15:E15"/>
    <mergeCell ref="F15:G15"/>
    <mergeCell ref="C16:E16"/>
    <mergeCell ref="F16:G16"/>
    <mergeCell ref="C22:E22"/>
    <mergeCell ref="F22:G22"/>
    <mergeCell ref="B24:G24"/>
    <mergeCell ref="C25:E25"/>
    <mergeCell ref="F25:G25"/>
    <mergeCell ref="C17:E17"/>
    <mergeCell ref="F17:H17"/>
    <mergeCell ref="C19:H19"/>
    <mergeCell ref="C20:I20"/>
    <mergeCell ref="C21:E21"/>
    <mergeCell ref="F21:G21"/>
    <mergeCell ref="C26:E26"/>
    <mergeCell ref="F26:G26"/>
    <mergeCell ref="F31:G31"/>
    <mergeCell ref="C32:E32"/>
    <mergeCell ref="F32:G32"/>
    <mergeCell ref="F27:I27"/>
    <mergeCell ref="B47:D47"/>
    <mergeCell ref="E47:H47"/>
    <mergeCell ref="J47:K47"/>
    <mergeCell ref="C39:E39"/>
    <mergeCell ref="F39:G39"/>
    <mergeCell ref="C40:E40"/>
    <mergeCell ref="F40:K40"/>
    <mergeCell ref="B44:D44"/>
    <mergeCell ref="E44:K44"/>
    <mergeCell ref="C38:E38"/>
    <mergeCell ref="F38:G38"/>
    <mergeCell ref="B29:J29"/>
    <mergeCell ref="C30:E30"/>
    <mergeCell ref="F30:G30"/>
    <mergeCell ref="C31:E31"/>
    <mergeCell ref="B35:J35"/>
    <mergeCell ref="C37:E37"/>
    <mergeCell ref="F37:G37"/>
    <mergeCell ref="B33:E33"/>
    <mergeCell ref="F33:K33"/>
  </mergeCells>
  <printOptions horizontalCentered="1"/>
  <pageMargins left="0.19685039370078741" right="0.23622047244094491" top="0.15748031496062992" bottom="0.11811023622047245" header="7.874015748031496E-2" footer="0"/>
  <pageSetup paperSize="6" scale="116" orientation="portrait" r:id="rId1"/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39997558519241921"/>
  </sheetPr>
  <dimension ref="A1:IW50"/>
  <sheetViews>
    <sheetView showGridLines="0" view="pageLayout" topLeftCell="A4" zoomScale="235" zoomScaleNormal="115" zoomScaleSheetLayoutView="265" zoomScalePageLayoutView="235" workbookViewId="0">
      <selection activeCell="A49" sqref="A49"/>
    </sheetView>
  </sheetViews>
  <sheetFormatPr baseColWidth="10" defaultColWidth="0" defaultRowHeight="0" customHeight="1" zeroHeight="1" x14ac:dyDescent="0.3"/>
  <cols>
    <col min="1" max="1" width="3.5546875" style="7" customWidth="1"/>
    <col min="2" max="2" width="3.6640625" style="7" customWidth="1"/>
    <col min="3" max="3" width="12.44140625" style="7" customWidth="1"/>
    <col min="4" max="4" width="5.33203125" style="7" customWidth="1"/>
    <col min="5" max="5" width="2.44140625" style="7" customWidth="1"/>
    <col min="6" max="6" width="4.88671875" style="7" customWidth="1"/>
    <col min="7" max="7" width="5.33203125" style="7" customWidth="1"/>
    <col min="8" max="8" width="7.5546875" style="7" customWidth="1"/>
    <col min="9" max="9" width="6" style="7" customWidth="1"/>
    <col min="10" max="10" width="5.44140625" style="7" customWidth="1"/>
    <col min="11" max="11" width="3.5546875" style="317" customWidth="1"/>
    <col min="12" max="12" width="2" style="7" customWidth="1"/>
    <col min="13" max="20" width="0" style="284" hidden="1" customWidth="1"/>
    <col min="21" max="21" width="4.44140625" style="284" hidden="1" customWidth="1"/>
    <col min="22" max="22" width="1.109375" style="284" hidden="1" customWidth="1"/>
    <col min="23" max="23" width="0.5546875" style="284" hidden="1" customWidth="1"/>
    <col min="24" max="26" width="0.88671875" style="284" hidden="1" customWidth="1"/>
    <col min="27" max="27" width="4.5546875" style="284" hidden="1" customWidth="1"/>
    <col min="28" max="28" width="1.109375" style="284" hidden="1" customWidth="1"/>
    <col min="29" max="29" width="0.5546875" style="284" hidden="1" customWidth="1"/>
    <col min="30" max="32" width="0.88671875" style="284" hidden="1" customWidth="1"/>
    <col min="33" max="33" width="4.5546875" style="284" hidden="1" customWidth="1"/>
    <col min="34" max="38" width="4.44140625" style="284" hidden="1" customWidth="1"/>
    <col min="39" max="39" width="1" style="284" hidden="1" customWidth="1"/>
    <col min="40" max="40" width="0.6640625" style="284" hidden="1" customWidth="1"/>
    <col min="41" max="41" width="3.33203125" style="284" hidden="1" customWidth="1"/>
    <col min="42" max="42" width="0.109375" style="284" hidden="1" customWidth="1"/>
    <col min="43" max="43" width="1.109375" style="284" hidden="1" customWidth="1"/>
    <col min="44" max="44" width="0.5546875" style="284" hidden="1" customWidth="1"/>
    <col min="45" max="47" width="0.88671875" style="284" hidden="1" customWidth="1"/>
    <col min="48" max="48" width="4.5546875" style="284" hidden="1" customWidth="1"/>
    <col min="49" max="49" width="0.5546875" style="284" hidden="1" customWidth="1"/>
    <col min="50" max="52" width="0.88671875" style="284" hidden="1" customWidth="1"/>
    <col min="53" max="53" width="4.5546875" style="284" hidden="1" customWidth="1"/>
    <col min="54" max="54" width="1.109375" style="284" hidden="1" customWidth="1"/>
    <col min="55" max="55" width="0.5546875" style="284" hidden="1" customWidth="1"/>
    <col min="56" max="58" width="0.88671875" style="284" hidden="1" customWidth="1"/>
    <col min="59" max="59" width="4.5546875" style="284" hidden="1" customWidth="1"/>
    <col min="60" max="64" width="4.44140625" style="284" hidden="1" customWidth="1"/>
    <col min="65" max="65" width="1" style="284" hidden="1" customWidth="1"/>
    <col min="66" max="66" width="0.6640625" style="284" hidden="1" customWidth="1"/>
    <col min="67" max="67" width="3.33203125" style="284" hidden="1" customWidth="1"/>
    <col min="68" max="68" width="0.109375" style="284" hidden="1" customWidth="1"/>
    <col min="69" max="69" width="1.109375" style="284" hidden="1" customWidth="1"/>
    <col min="70" max="70" width="0.5546875" style="284" hidden="1" customWidth="1"/>
    <col min="71" max="73" width="0.88671875" style="284" hidden="1" customWidth="1"/>
    <col min="74" max="74" width="4.5546875" style="284" hidden="1" customWidth="1"/>
    <col min="75" max="75" width="0.109375" style="284" hidden="1" customWidth="1"/>
    <col min="76" max="76" width="1.109375" style="284" hidden="1" customWidth="1"/>
    <col min="77" max="77" width="0.5546875" style="284" hidden="1" customWidth="1"/>
    <col min="78" max="80" width="0.88671875" style="284" hidden="1" customWidth="1"/>
    <col min="81" max="81" width="4.5546875" style="284" hidden="1" customWidth="1"/>
    <col min="82" max="82" width="1.109375" style="284" hidden="1" customWidth="1"/>
    <col min="83" max="83" width="0.5546875" style="284" hidden="1" customWidth="1"/>
    <col min="84" max="86" width="0.88671875" style="284" hidden="1" customWidth="1"/>
    <col min="87" max="87" width="4.5546875" style="284" hidden="1" customWidth="1"/>
    <col min="88" max="92" width="4.44140625" style="284" hidden="1" customWidth="1"/>
    <col min="93" max="93" width="1" style="284" hidden="1" customWidth="1"/>
    <col min="94" max="94" width="0.6640625" style="284" hidden="1" customWidth="1"/>
    <col min="95" max="95" width="3.33203125" style="284" hidden="1" customWidth="1"/>
    <col min="96" max="96" width="0.109375" style="284" hidden="1" customWidth="1"/>
    <col min="97" max="97" width="1.109375" style="284" hidden="1" customWidth="1"/>
    <col min="98" max="98" width="0.5546875" style="284" hidden="1" customWidth="1"/>
    <col min="99" max="101" width="0.88671875" style="284" hidden="1" customWidth="1"/>
    <col min="102" max="102" width="4.5546875" style="284" hidden="1" customWidth="1"/>
    <col min="103" max="103" width="0.5546875" style="284" hidden="1" customWidth="1"/>
    <col min="104" max="106" width="0.88671875" style="284" hidden="1" customWidth="1"/>
    <col min="107" max="107" width="4.5546875" style="284" hidden="1" customWidth="1"/>
    <col min="108" max="108" width="1.109375" style="284" hidden="1" customWidth="1"/>
    <col min="109" max="109" width="0.5546875" style="284" hidden="1" customWidth="1"/>
    <col min="110" max="112" width="0.88671875" style="284" hidden="1" customWidth="1"/>
    <col min="113" max="113" width="4.5546875" style="284" hidden="1" customWidth="1"/>
    <col min="114" max="118" width="4.44140625" style="284" hidden="1" customWidth="1"/>
    <col min="119" max="119" width="1" style="284" hidden="1" customWidth="1"/>
    <col min="120" max="120" width="0.6640625" style="284" hidden="1" customWidth="1"/>
    <col min="121" max="121" width="3.33203125" style="284" hidden="1" customWidth="1"/>
    <col min="122" max="122" width="0.109375" style="284" hidden="1" customWidth="1"/>
    <col min="123" max="123" width="1.109375" style="284" hidden="1" customWidth="1"/>
    <col min="124" max="124" width="0.5546875" style="284" hidden="1" customWidth="1"/>
    <col min="125" max="127" width="0.88671875" style="284" hidden="1" customWidth="1"/>
    <col min="128" max="129" width="4.5546875" style="284" hidden="1" customWidth="1"/>
    <col min="130" max="130" width="0.109375" style="284" hidden="1" customWidth="1"/>
    <col min="131" max="131" width="1.109375" style="284" hidden="1" customWidth="1"/>
    <col min="132" max="132" width="0.5546875" style="284" hidden="1" customWidth="1"/>
    <col min="133" max="135" width="0.88671875" style="284" hidden="1" customWidth="1"/>
    <col min="136" max="136" width="4.5546875" style="284" hidden="1" customWidth="1"/>
    <col min="137" max="137" width="1.109375" style="284" hidden="1" customWidth="1"/>
    <col min="138" max="138" width="0.5546875" style="284" hidden="1" customWidth="1"/>
    <col min="139" max="141" width="0.88671875" style="284" hidden="1" customWidth="1"/>
    <col min="142" max="142" width="4.5546875" style="284" hidden="1" customWidth="1"/>
    <col min="143" max="147" width="4.44140625" style="284" hidden="1" customWidth="1"/>
    <col min="148" max="148" width="1" style="284" hidden="1" customWidth="1"/>
    <col min="149" max="149" width="0.6640625" style="284" hidden="1" customWidth="1"/>
    <col min="150" max="150" width="3.33203125" style="284" hidden="1" customWidth="1"/>
    <col min="151" max="151" width="0.109375" style="284" hidden="1" customWidth="1"/>
    <col min="152" max="152" width="1.109375" style="284" hidden="1" customWidth="1"/>
    <col min="153" max="153" width="0.5546875" style="284" hidden="1" customWidth="1"/>
    <col min="154" max="156" width="0.88671875" style="284" hidden="1" customWidth="1"/>
    <col min="157" max="157" width="4.5546875" style="284" hidden="1" customWidth="1"/>
    <col min="158" max="158" width="0.5546875" style="284" hidden="1" customWidth="1"/>
    <col min="159" max="161" width="0.88671875" style="284" hidden="1" customWidth="1"/>
    <col min="162" max="162" width="4.5546875" style="284" hidden="1" customWidth="1"/>
    <col min="163" max="163" width="1.109375" style="284" hidden="1" customWidth="1"/>
    <col min="164" max="164" width="0.5546875" style="284" hidden="1" customWidth="1"/>
    <col min="165" max="167" width="0.88671875" style="284" hidden="1" customWidth="1"/>
    <col min="168" max="168" width="4.5546875" style="284" hidden="1" customWidth="1"/>
    <col min="169" max="173" width="4.44140625" style="284" hidden="1" customWidth="1"/>
    <col min="174" max="174" width="1" style="284" hidden="1" customWidth="1"/>
    <col min="175" max="175" width="0.6640625" style="284" hidden="1" customWidth="1"/>
    <col min="176" max="176" width="3.33203125" style="284" hidden="1" customWidth="1"/>
    <col min="177" max="177" width="0.109375" style="284" hidden="1" customWidth="1"/>
    <col min="178" max="178" width="1.109375" style="284" hidden="1" customWidth="1"/>
    <col min="179" max="179" width="0.5546875" style="284" hidden="1" customWidth="1"/>
    <col min="180" max="182" width="0.88671875" style="284" hidden="1" customWidth="1"/>
    <col min="183" max="183" width="4.5546875" style="284" hidden="1" customWidth="1"/>
    <col min="184" max="188" width="4.44140625" style="284" hidden="1" customWidth="1"/>
    <col min="189" max="189" width="1" style="284" hidden="1" customWidth="1"/>
    <col min="190" max="190" width="0.6640625" style="284" hidden="1" customWidth="1"/>
    <col min="191" max="191" width="3.33203125" style="284" hidden="1" customWidth="1"/>
    <col min="192" max="192" width="0.109375" style="284" hidden="1" customWidth="1"/>
    <col min="193" max="193" width="1.109375" style="284" hidden="1" customWidth="1"/>
    <col min="194" max="194" width="0.5546875" style="284" hidden="1" customWidth="1"/>
    <col min="195" max="197" width="0.88671875" style="284" hidden="1" customWidth="1"/>
    <col min="198" max="199" width="4.5546875" style="284" hidden="1" customWidth="1"/>
    <col min="200" max="200" width="0.109375" style="284" hidden="1" customWidth="1"/>
    <col min="201" max="201" width="1.109375" style="284" hidden="1" customWidth="1"/>
    <col min="202" max="202" width="0.5546875" style="284" hidden="1" customWidth="1"/>
    <col min="203" max="205" width="0.88671875" style="284" hidden="1" customWidth="1"/>
    <col min="206" max="206" width="4.5546875" style="284" hidden="1" customWidth="1"/>
    <col min="207" max="207" width="1.109375" style="284" hidden="1" customWidth="1"/>
    <col min="208" max="208" width="0.5546875" style="284" hidden="1" customWidth="1"/>
    <col min="209" max="211" width="0.88671875" style="284" hidden="1" customWidth="1"/>
    <col min="212" max="212" width="4.5546875" style="284" hidden="1" customWidth="1"/>
    <col min="213" max="217" width="4.44140625" style="284" hidden="1" customWidth="1"/>
    <col min="218" max="218" width="1" style="284" hidden="1" customWidth="1"/>
    <col min="219" max="219" width="0.6640625" style="284" hidden="1" customWidth="1"/>
    <col min="220" max="220" width="3.33203125" style="284" hidden="1" customWidth="1"/>
    <col min="221" max="221" width="0.109375" style="284" hidden="1" customWidth="1"/>
    <col min="222" max="222" width="1.109375" style="284" hidden="1" customWidth="1"/>
    <col min="223" max="223" width="0.5546875" style="284" hidden="1" customWidth="1"/>
    <col min="224" max="226" width="0.88671875" style="284" hidden="1" customWidth="1"/>
    <col min="227" max="227" width="4.5546875" style="284" hidden="1" customWidth="1"/>
    <col min="228" max="228" width="0.5546875" style="284" hidden="1" customWidth="1"/>
    <col min="229" max="231" width="0.88671875" style="284" hidden="1" customWidth="1"/>
    <col min="232" max="232" width="4.5546875" style="284" hidden="1" customWidth="1"/>
    <col min="233" max="233" width="1.109375" style="284" hidden="1" customWidth="1"/>
    <col min="234" max="234" width="0.5546875" style="284" hidden="1" customWidth="1"/>
    <col min="235" max="237" width="0.88671875" style="284" hidden="1" customWidth="1"/>
    <col min="238" max="238" width="4.5546875" style="284" hidden="1" customWidth="1"/>
    <col min="239" max="243" width="4.44140625" style="284" hidden="1" customWidth="1"/>
    <col min="244" max="244" width="1" style="284" hidden="1" customWidth="1"/>
    <col min="245" max="245" width="0.6640625" style="284" hidden="1" customWidth="1"/>
    <col min="246" max="246" width="3.33203125" style="284" hidden="1" customWidth="1"/>
    <col min="247" max="247" width="0.109375" style="284" hidden="1" customWidth="1"/>
    <col min="248" max="248" width="1.109375" style="284" hidden="1" customWidth="1"/>
    <col min="249" max="249" width="0.5546875" style="284" hidden="1" customWidth="1"/>
    <col min="250" max="252" width="0.88671875" style="284" hidden="1" customWidth="1"/>
    <col min="253" max="253" width="4.5546875" style="284" hidden="1" customWidth="1"/>
    <col min="254" max="257" width="0.88671875" style="284" hidden="1" customWidth="1"/>
    <col min="258" max="16384" width="4" style="284" hidden="1"/>
  </cols>
  <sheetData>
    <row r="1" spans="1:13" ht="24.75" customHeight="1" x14ac:dyDescent="0.35">
      <c r="C1" s="599" t="s">
        <v>429</v>
      </c>
      <c r="D1" s="599"/>
      <c r="E1" s="599"/>
      <c r="F1" s="599"/>
      <c r="G1" s="599"/>
      <c r="H1" s="599"/>
      <c r="I1" s="599"/>
      <c r="J1" s="599"/>
      <c r="K1" s="600">
        <v>12</v>
      </c>
      <c r="L1" s="601"/>
    </row>
    <row r="2" spans="1:13" ht="12.75" customHeight="1" x14ac:dyDescent="0.3">
      <c r="C2" s="602" t="s">
        <v>429</v>
      </c>
      <c r="D2" s="602"/>
      <c r="E2" s="602"/>
      <c r="F2" s="602"/>
      <c r="G2" s="602"/>
      <c r="H2" s="602"/>
      <c r="I2" s="602"/>
      <c r="J2" s="602"/>
      <c r="K2" s="602"/>
      <c r="L2" s="603"/>
    </row>
    <row r="3" spans="1:13" s="285" customFormat="1" ht="11.25" customHeight="1" x14ac:dyDescent="0.3">
      <c r="C3" s="604">
        <f>LOOKUP(K1,DATOS!A:A,DATOS!B:B)</f>
        <v>12</v>
      </c>
      <c r="D3" s="606" t="s">
        <v>430</v>
      </c>
      <c r="E3" s="606"/>
      <c r="F3" s="606"/>
      <c r="G3" s="606"/>
      <c r="H3" s="606"/>
      <c r="I3" s="286" t="s">
        <v>431</v>
      </c>
      <c r="J3" s="607" t="str">
        <f>LOOKUP(K1,DATOS!A:A,DATOS!J:J)</f>
        <v>890805 CCH</v>
      </c>
      <c r="K3" s="607"/>
      <c r="L3" s="607"/>
    </row>
    <row r="4" spans="1:13" ht="11.25" customHeight="1" x14ac:dyDescent="0.3">
      <c r="C4" s="605"/>
      <c r="D4" s="608" t="s">
        <v>432</v>
      </c>
      <c r="E4" s="608"/>
      <c r="F4" s="608"/>
      <c r="G4" s="608"/>
      <c r="H4" s="608"/>
      <c r="I4" s="287" t="s">
        <v>433</v>
      </c>
      <c r="J4" s="45">
        <f>LOOKUP(K1,DATOS!A:A,DATOS!K:K)</f>
        <v>50</v>
      </c>
      <c r="K4" s="69"/>
      <c r="L4" s="288"/>
    </row>
    <row r="5" spans="1:13" ht="13.5" customHeight="1" x14ac:dyDescent="0.3">
      <c r="A5" s="289"/>
      <c r="B5" s="289"/>
      <c r="C5" s="591" t="s">
        <v>434</v>
      </c>
      <c r="D5" s="591"/>
      <c r="E5" s="592" t="str">
        <f>LOOKUP(K1,DATOS!A:A,DATOS!G:G)</f>
        <v>TORREZ VARGAS DELIA</v>
      </c>
      <c r="F5" s="592"/>
      <c r="G5" s="592"/>
      <c r="H5" s="592"/>
      <c r="I5" s="592"/>
      <c r="J5" s="290" t="s">
        <v>435</v>
      </c>
      <c r="K5" s="291">
        <f>LOOKUP(K1,DATOS!A:A,DATOS!H:H)</f>
        <v>35</v>
      </c>
      <c r="L5" s="292" t="s">
        <v>436</v>
      </c>
    </row>
    <row r="6" spans="1:13" ht="13.5" customHeight="1" x14ac:dyDescent="0.3">
      <c r="A6" s="289"/>
      <c r="B6" s="289"/>
      <c r="C6" s="591" t="s">
        <v>437</v>
      </c>
      <c r="D6" s="591"/>
      <c r="E6" s="593">
        <f>LOOKUP(K1,DATOS!A:A,DATOS!O:O)</f>
        <v>46141</v>
      </c>
      <c r="F6" s="593"/>
      <c r="G6" s="593"/>
      <c r="H6" s="593"/>
      <c r="I6" s="293" t="s">
        <v>438</v>
      </c>
      <c r="J6" s="294" t="str">
        <f>LOOKUP(K1,DATOS!A:A,DATOS!I:I)</f>
        <v>FEMENINO</v>
      </c>
      <c r="K6" s="294"/>
      <c r="L6" s="292"/>
    </row>
    <row r="7" spans="1:13" ht="12.75" customHeight="1" x14ac:dyDescent="0.3">
      <c r="A7" s="289"/>
      <c r="B7" s="289"/>
      <c r="C7" s="293" t="s">
        <v>439</v>
      </c>
      <c r="D7" s="594" t="str">
        <f>LOOKUP(K1,DATOS!A:A,DATOS!N:N)</f>
        <v>DRA. CHAMBI</v>
      </c>
      <c r="E7" s="594"/>
      <c r="F7" s="594"/>
      <c r="G7" s="293"/>
      <c r="H7" s="595" t="s">
        <v>457</v>
      </c>
      <c r="I7" s="595"/>
      <c r="J7" s="294" t="str">
        <f>LOOKUP(K1,DATOS!A:A,DATOS!M:M)</f>
        <v>GINECOLOGIA</v>
      </c>
      <c r="K7" s="295"/>
      <c r="L7" s="292"/>
    </row>
    <row r="8" spans="1:13" ht="6.75" customHeight="1" x14ac:dyDescent="0.3">
      <c r="A8" s="8"/>
      <c r="B8" s="8"/>
      <c r="C8" s="296"/>
      <c r="D8" s="296"/>
      <c r="E8" s="296"/>
      <c r="I8" s="296"/>
      <c r="J8" s="296"/>
      <c r="K8" s="296"/>
      <c r="L8" s="297"/>
    </row>
    <row r="9" spans="1:13" ht="13.5" customHeight="1" x14ac:dyDescent="0.3">
      <c r="A9" s="8"/>
      <c r="B9" s="8"/>
      <c r="D9" s="613" t="s">
        <v>514</v>
      </c>
      <c r="E9" s="613"/>
      <c r="F9" s="613"/>
      <c r="G9" s="613"/>
      <c r="H9" s="613"/>
      <c r="I9" s="613"/>
      <c r="J9" s="8"/>
      <c r="K9" s="298"/>
      <c r="L9" s="8"/>
    </row>
    <row r="10" spans="1:13" ht="3.75" customHeight="1" x14ac:dyDescent="0.3">
      <c r="A10" s="8"/>
      <c r="B10" s="8"/>
      <c r="D10" s="367"/>
      <c r="E10" s="367"/>
      <c r="F10" s="367"/>
      <c r="G10" s="367"/>
      <c r="H10" s="367"/>
      <c r="I10" s="367"/>
      <c r="J10" s="8"/>
      <c r="K10" s="298"/>
      <c r="L10" s="8"/>
      <c r="M10" s="299"/>
    </row>
    <row r="11" spans="1:13" ht="13.5" customHeight="1" x14ac:dyDescent="0.3">
      <c r="A11" s="368"/>
      <c r="B11" s="610" t="s">
        <v>524</v>
      </c>
      <c r="C11" s="611"/>
      <c r="D11" s="611"/>
      <c r="E11" s="611"/>
      <c r="F11" s="612"/>
      <c r="G11" s="614"/>
      <c r="H11" s="614"/>
      <c r="I11" s="614"/>
      <c r="J11" s="614"/>
      <c r="K11" s="298"/>
      <c r="L11" s="8"/>
      <c r="M11" s="299"/>
    </row>
    <row r="12" spans="1:13" ht="13.5" customHeight="1" x14ac:dyDescent="0.3">
      <c r="A12" s="368"/>
      <c r="B12" s="610" t="s">
        <v>525</v>
      </c>
      <c r="C12" s="611"/>
      <c r="D12" s="611"/>
      <c r="E12" s="611"/>
      <c r="F12" s="612"/>
      <c r="G12" s="614"/>
      <c r="H12" s="614"/>
      <c r="I12" s="614"/>
      <c r="J12" s="614"/>
      <c r="K12" s="298"/>
      <c r="L12" s="8"/>
      <c r="M12" s="299"/>
    </row>
    <row r="13" spans="1:13" ht="13.5" customHeight="1" x14ac:dyDescent="0.3">
      <c r="A13" s="368"/>
      <c r="B13" s="610" t="s">
        <v>526</v>
      </c>
      <c r="C13" s="611"/>
      <c r="D13" s="611"/>
      <c r="E13" s="611"/>
      <c r="F13" s="612"/>
      <c r="G13" s="614"/>
      <c r="H13" s="614"/>
      <c r="I13" s="614"/>
      <c r="J13" s="614"/>
      <c r="K13" s="298"/>
      <c r="L13" s="8"/>
      <c r="M13" s="299"/>
    </row>
    <row r="14" spans="1:13" ht="9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299"/>
    </row>
    <row r="15" spans="1:13" s="302" customFormat="1" ht="12" customHeight="1" x14ac:dyDescent="0.3">
      <c r="A15" s="8"/>
      <c r="B15" s="8" t="s">
        <v>515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301"/>
    </row>
    <row r="16" spans="1:13" s="302" customFormat="1" ht="13.5" customHeight="1" x14ac:dyDescent="0.3">
      <c r="A16" s="8"/>
      <c r="B16" s="45"/>
      <c r="C16" s="369" t="s">
        <v>516</v>
      </c>
      <c r="D16" s="609"/>
      <c r="E16" s="542"/>
      <c r="F16" s="542"/>
      <c r="G16" s="8"/>
      <c r="H16" s="8"/>
      <c r="I16" s="8"/>
      <c r="J16" s="8"/>
      <c r="K16" s="8"/>
      <c r="L16" s="8"/>
      <c r="M16" s="301"/>
    </row>
    <row r="17" spans="1:13" s="302" customFormat="1" ht="9.75" customHeight="1" x14ac:dyDescent="0.3">
      <c r="A17" s="8"/>
      <c r="B17" s="45"/>
      <c r="C17" s="369" t="s">
        <v>442</v>
      </c>
      <c r="D17" s="609"/>
      <c r="E17" s="542"/>
      <c r="F17" s="542"/>
      <c r="G17" s="8"/>
      <c r="H17" s="8"/>
      <c r="I17" s="8"/>
      <c r="J17" s="8"/>
      <c r="K17" s="8"/>
      <c r="L17" s="8"/>
      <c r="M17" s="301"/>
    </row>
    <row r="18" spans="1:13" s="302" customFormat="1" ht="9.75" customHeight="1" x14ac:dyDescent="0.3">
      <c r="A18" s="8"/>
      <c r="B18" s="45"/>
      <c r="C18" s="369" t="s">
        <v>528</v>
      </c>
      <c r="D18" s="609"/>
      <c r="E18" s="542"/>
      <c r="F18" s="542"/>
      <c r="G18" s="8"/>
      <c r="H18" s="8"/>
      <c r="I18" s="8"/>
      <c r="J18" s="8"/>
      <c r="K18" s="8"/>
      <c r="L18" s="8"/>
      <c r="M18" s="301"/>
    </row>
    <row r="19" spans="1:13" s="302" customFormat="1" ht="9.75" customHeight="1" x14ac:dyDescent="0.3">
      <c r="A19" s="8"/>
      <c r="B19" s="45"/>
      <c r="C19" s="369" t="s">
        <v>248</v>
      </c>
      <c r="D19" s="609"/>
      <c r="E19" s="542"/>
      <c r="F19" s="542"/>
      <c r="G19" s="8"/>
      <c r="H19" s="8"/>
      <c r="I19" s="8"/>
      <c r="J19" s="8"/>
      <c r="K19" s="8"/>
      <c r="L19" s="8"/>
      <c r="M19" s="301"/>
    </row>
    <row r="20" spans="1:13" s="302" customFormat="1" ht="9.75" customHeight="1" x14ac:dyDescent="0.3">
      <c r="A20" s="8"/>
      <c r="B20" s="45"/>
      <c r="C20" s="369" t="s">
        <v>527</v>
      </c>
      <c r="D20" s="609"/>
      <c r="E20" s="542"/>
      <c r="F20" s="542"/>
      <c r="G20" s="8"/>
      <c r="H20" s="8"/>
      <c r="I20" s="8"/>
      <c r="J20" s="8"/>
      <c r="K20" s="8"/>
      <c r="L20" s="8"/>
      <c r="M20" s="301"/>
    </row>
    <row r="21" spans="1:13" s="302" customFormat="1" ht="9.75" customHeight="1" x14ac:dyDescent="0.3">
      <c r="A21" s="8"/>
      <c r="B21" s="45"/>
      <c r="C21" s="369" t="s">
        <v>529</v>
      </c>
      <c r="D21" s="609"/>
      <c r="E21" s="542"/>
      <c r="F21" s="542"/>
      <c r="G21" s="8"/>
      <c r="H21" s="8"/>
      <c r="I21" s="8"/>
      <c r="J21" s="8"/>
      <c r="K21" s="8"/>
      <c r="L21" s="8"/>
      <c r="M21" s="301"/>
    </row>
    <row r="22" spans="1:13" s="302" customFormat="1" ht="9.75" customHeight="1" x14ac:dyDescent="0.3">
      <c r="A22" s="8"/>
      <c r="B22" s="45"/>
      <c r="C22" s="369" t="s">
        <v>530</v>
      </c>
      <c r="D22" s="609"/>
      <c r="E22" s="542"/>
      <c r="F22" s="542"/>
      <c r="G22" s="8"/>
      <c r="H22" s="8"/>
      <c r="I22" s="8"/>
      <c r="J22" s="8"/>
      <c r="K22" s="8"/>
      <c r="L22" s="8"/>
      <c r="M22" s="301"/>
    </row>
    <row r="23" spans="1:13" s="302" customFormat="1" ht="9.75" customHeight="1" x14ac:dyDescent="0.3">
      <c r="A23" s="8"/>
      <c r="B23" s="45"/>
      <c r="C23" s="369" t="s">
        <v>531</v>
      </c>
      <c r="D23" s="609"/>
      <c r="E23" s="542"/>
      <c r="F23" s="542"/>
      <c r="G23" s="8"/>
      <c r="H23" s="8"/>
      <c r="I23" s="8"/>
      <c r="J23" s="8"/>
      <c r="K23" s="8"/>
      <c r="L23" s="8"/>
      <c r="M23" s="301"/>
    </row>
    <row r="24" spans="1:13" s="302" customFormat="1" ht="13.5" customHeight="1" x14ac:dyDescent="0.3">
      <c r="A24" s="8"/>
      <c r="B24" s="45"/>
      <c r="C24" s="369" t="s">
        <v>532</v>
      </c>
      <c r="D24" s="609"/>
      <c r="E24" s="542"/>
      <c r="F24" s="542"/>
      <c r="G24" s="8"/>
      <c r="H24" s="8"/>
      <c r="I24" s="8"/>
      <c r="J24" s="8"/>
      <c r="K24" s="8"/>
      <c r="L24" s="8"/>
      <c r="M24" s="301"/>
    </row>
    <row r="25" spans="1:13" s="302" customFormat="1" ht="13.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301"/>
    </row>
    <row r="26" spans="1:13" s="302" customFormat="1" ht="9.7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301"/>
    </row>
    <row r="27" spans="1:13" s="302" customFormat="1" ht="9.7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301"/>
    </row>
    <row r="28" spans="1:13" s="302" customFormat="1" ht="9.7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301"/>
    </row>
    <row r="29" spans="1:13" s="302" customFormat="1" ht="15.7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301"/>
    </row>
    <row r="30" spans="1:13" s="302" customFormat="1" ht="9.7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301"/>
    </row>
    <row r="31" spans="1:13" s="302" customFormat="1" ht="9.7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301"/>
    </row>
    <row r="32" spans="1:13" s="302" customFormat="1" ht="12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301"/>
    </row>
    <row r="33" spans="1:13" s="302" customFormat="1" ht="1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301"/>
    </row>
    <row r="34" spans="1:13" s="302" customFormat="1" ht="9.7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301"/>
    </row>
    <row r="35" spans="1:13" s="302" customFormat="1" ht="9.7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301"/>
    </row>
    <row r="36" spans="1:13" s="302" customFormat="1" ht="9.7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301"/>
    </row>
    <row r="37" spans="1:13" s="302" customFormat="1" ht="9.7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301"/>
    </row>
    <row r="38" spans="1:13" s="302" customFormat="1" ht="10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301"/>
    </row>
    <row r="39" spans="1:13" s="302" customFormat="1" ht="5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301"/>
    </row>
    <row r="40" spans="1:13" s="302" customFormat="1" ht="12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301"/>
    </row>
    <row r="41" spans="1:13" s="302" customFormat="1" ht="12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301"/>
    </row>
    <row r="42" spans="1:13" s="302" customFormat="1" ht="12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301"/>
    </row>
    <row r="43" spans="1:13" s="302" customFormat="1" ht="12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301"/>
    </row>
    <row r="44" spans="1:13" s="302" customFormat="1" ht="9.7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301"/>
    </row>
    <row r="45" spans="1:13" s="302" customFormat="1" ht="9.7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301"/>
    </row>
    <row r="46" spans="1:13" s="302" customFormat="1" ht="9.7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301"/>
    </row>
    <row r="47" spans="1:13" s="8" customFormat="1" ht="11.25" customHeight="1" x14ac:dyDescent="0.3">
      <c r="A47" s="310"/>
      <c r="B47" s="310"/>
      <c r="C47" s="577"/>
      <c r="D47" s="577"/>
      <c r="E47" s="577"/>
      <c r="F47" s="578"/>
      <c r="G47" s="578"/>
      <c r="H47" s="578"/>
      <c r="I47" s="578"/>
      <c r="J47" s="578"/>
      <c r="K47" s="578"/>
      <c r="L47" s="578"/>
    </row>
    <row r="48" spans="1:13" s="8" customFormat="1" ht="13.5" customHeight="1" x14ac:dyDescent="0.3">
      <c r="A48" s="310"/>
      <c r="B48" s="310"/>
      <c r="C48" s="311"/>
      <c r="D48" s="311"/>
      <c r="E48" s="311"/>
      <c r="F48" s="312"/>
      <c r="G48" s="312"/>
      <c r="H48" s="312"/>
      <c r="I48" s="312"/>
      <c r="J48" s="312"/>
      <c r="K48" s="312"/>
      <c r="L48" s="312"/>
    </row>
    <row r="49" spans="1:12" s="316" customFormat="1" ht="13.5" customHeight="1" x14ac:dyDescent="0.3">
      <c r="A49" s="313"/>
      <c r="B49" s="313"/>
      <c r="C49" s="7"/>
      <c r="D49" s="7"/>
      <c r="E49" s="7"/>
      <c r="F49" s="7"/>
      <c r="G49" s="314" t="s">
        <v>456</v>
      </c>
      <c r="H49" s="7"/>
      <c r="I49" s="7"/>
      <c r="J49" s="7"/>
      <c r="K49" s="315"/>
      <c r="L49" s="314"/>
    </row>
    <row r="50" spans="1:12" ht="12.75" customHeight="1" x14ac:dyDescent="0.3">
      <c r="C50" s="574" t="s">
        <v>385</v>
      </c>
      <c r="D50" s="574"/>
      <c r="E50" s="574"/>
      <c r="F50" s="575">
        <f>LOOKUP(K1,DATOS!A:A,DATOS!P:P)</f>
        <v>46156</v>
      </c>
      <c r="G50" s="575"/>
      <c r="H50" s="575"/>
      <c r="I50" s="575"/>
      <c r="J50" s="9" t="s">
        <v>110</v>
      </c>
      <c r="K50" s="463">
        <f ca="1">NOW()</f>
        <v>46197.396101620368</v>
      </c>
      <c r="L50" s="463"/>
    </row>
  </sheetData>
  <sheetProtection sheet="1" objects="1" scenarios="1" selectLockedCells="1" pivotTables="0"/>
  <mergeCells count="34">
    <mergeCell ref="C50:E50"/>
    <mergeCell ref="F50:I50"/>
    <mergeCell ref="K50:L50"/>
    <mergeCell ref="D9:I9"/>
    <mergeCell ref="G11:J11"/>
    <mergeCell ref="G12:J12"/>
    <mergeCell ref="G13:J13"/>
    <mergeCell ref="C47:E47"/>
    <mergeCell ref="F47:L47"/>
    <mergeCell ref="D20:F20"/>
    <mergeCell ref="D24:F24"/>
    <mergeCell ref="D21:F21"/>
    <mergeCell ref="D22:F22"/>
    <mergeCell ref="D23:F23"/>
    <mergeCell ref="D17:F17"/>
    <mergeCell ref="D18:F18"/>
    <mergeCell ref="D19:F19"/>
    <mergeCell ref="D16:F16"/>
    <mergeCell ref="B13:F13"/>
    <mergeCell ref="B12:F12"/>
    <mergeCell ref="B11:F11"/>
    <mergeCell ref="C5:D5"/>
    <mergeCell ref="E5:I5"/>
    <mergeCell ref="C6:D6"/>
    <mergeCell ref="E6:H6"/>
    <mergeCell ref="D7:F7"/>
    <mergeCell ref="H7:I7"/>
    <mergeCell ref="C1:J1"/>
    <mergeCell ref="K1:L1"/>
    <mergeCell ref="C2:L2"/>
    <mergeCell ref="C3:C4"/>
    <mergeCell ref="D3:H3"/>
    <mergeCell ref="J3:L3"/>
    <mergeCell ref="D4:H4"/>
  </mergeCells>
  <printOptions horizontalCentered="1"/>
  <pageMargins left="0.19685039370078741" right="0.23622047244094491" top="0.15748031496062992" bottom="0.11811023622047245" header="7.874015748031496E-2" footer="0"/>
  <pageSetup scale="160" orientation="portrait" r:id="rId1"/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S30"/>
  <sheetViews>
    <sheetView showGridLines="0" zoomScale="130" zoomScaleNormal="130" workbookViewId="0">
      <selection activeCell="M15" sqref="M15"/>
    </sheetView>
  </sheetViews>
  <sheetFormatPr baseColWidth="10" defaultColWidth="0" defaultRowHeight="12.75" customHeight="1" zeroHeight="1" x14ac:dyDescent="0.3"/>
  <cols>
    <col min="1" max="1" width="1.109375" style="8" customWidth="1"/>
    <col min="2" max="2" width="7.6640625" style="8" customWidth="1"/>
    <col min="3" max="4" width="4.44140625" style="8" customWidth="1"/>
    <col min="5" max="5" width="5" style="8" customWidth="1"/>
    <col min="6" max="6" width="6.44140625" style="8" customWidth="1"/>
    <col min="7" max="7" width="7.33203125" style="8" customWidth="1"/>
    <col min="8" max="8" width="7.6640625" style="8" customWidth="1"/>
    <col min="9" max="9" width="4.109375" style="8" customWidth="1"/>
    <col min="10" max="10" width="4.44140625" style="8" customWidth="1"/>
    <col min="11" max="11" width="7.33203125" style="8" customWidth="1"/>
    <col min="12" max="13" width="4.44140625" style="8" customWidth="1"/>
    <col min="14" max="14" width="5.5546875" style="8" customWidth="1"/>
    <col min="15" max="15" width="5.88671875" style="8" customWidth="1"/>
    <col min="16" max="16" width="7.6640625" style="8" customWidth="1"/>
    <col min="17" max="17" width="7" style="8" customWidth="1"/>
    <col min="18" max="18" width="4.6640625" style="8" customWidth="1"/>
    <col min="19" max="19" width="0" style="8" hidden="1" customWidth="1"/>
    <col min="20" max="16384" width="4.44140625" style="8" hidden="1"/>
  </cols>
  <sheetData>
    <row r="1" spans="1:19" ht="51.75" customHeight="1" x14ac:dyDescent="0.85">
      <c r="A1" s="11"/>
      <c r="Q1" s="484">
        <v>3</v>
      </c>
      <c r="R1" s="484"/>
    </row>
    <row r="2" spans="1:19" ht="12.75" customHeight="1" x14ac:dyDescent="0.3">
      <c r="A2" s="11"/>
      <c r="B2" s="7"/>
      <c r="C2" s="7"/>
      <c r="D2" s="7"/>
      <c r="E2" s="7"/>
      <c r="F2" s="7"/>
      <c r="G2" s="7"/>
      <c r="H2" s="7"/>
      <c r="I2" s="7"/>
      <c r="K2" s="7"/>
      <c r="L2" s="7"/>
      <c r="M2" s="440"/>
      <c r="N2" s="440"/>
      <c r="O2" s="440"/>
      <c r="P2" s="615" t="str">
        <f>LOOKUP(Q1,DATOS!A:A,DATOS!J:J)</f>
        <v>800720 GSE</v>
      </c>
      <c r="Q2" s="615"/>
      <c r="R2" s="615"/>
    </row>
    <row r="3" spans="1:19" ht="17.25" customHeight="1" x14ac:dyDescent="0.3">
      <c r="A3" s="11"/>
      <c r="B3" s="7"/>
      <c r="C3" s="7"/>
      <c r="D3" s="7"/>
      <c r="E3" s="7"/>
      <c r="F3" s="7"/>
      <c r="G3" s="7"/>
      <c r="H3" s="7"/>
      <c r="I3" s="7"/>
      <c r="J3" s="486">
        <f>LOOKUP(Q1,DATOS!A:A,DATOS!B:B)</f>
        <v>3</v>
      </c>
      <c r="K3" s="486"/>
      <c r="L3" s="7"/>
      <c r="M3" s="9"/>
      <c r="N3" s="9"/>
      <c r="O3" s="9"/>
      <c r="P3" s="456">
        <f>LOOKUP(Q1,DATOS!A:A,DATOS!K:K)</f>
        <v>58</v>
      </c>
      <c r="Q3" s="456"/>
      <c r="R3" s="44">
        <f>LOOKUP(Q1,DATOS!A:A,DATOS!H:H)</f>
        <v>73</v>
      </c>
    </row>
    <row r="4" spans="1:19" ht="10.5" customHeight="1" x14ac:dyDescent="0.3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8"/>
    </row>
    <row r="5" spans="1:19" ht="22.5" customHeight="1" x14ac:dyDescent="0.35">
      <c r="A5" s="11"/>
      <c r="B5" s="7"/>
      <c r="C5" s="436" t="str">
        <f>LOOKUP(Q1,DATOS!A:A,DATOS!N:N)</f>
        <v>DR. RADA</v>
      </c>
      <c r="D5" s="436"/>
      <c r="E5" s="436"/>
      <c r="F5" s="436"/>
      <c r="G5" s="7"/>
      <c r="H5" s="436" t="s">
        <v>156</v>
      </c>
      <c r="I5" s="436"/>
      <c r="J5" s="436"/>
      <c r="K5" s="436"/>
      <c r="L5" s="490" t="str">
        <f>LOOKUP(Q1,DATOS!A:A,DATOS!G:G)</f>
        <v>SALLINAS ASQUICHO FELIPA</v>
      </c>
      <c r="M5" s="490"/>
      <c r="N5" s="490"/>
      <c r="O5" s="490"/>
      <c r="P5" s="490"/>
      <c r="Q5" s="490"/>
      <c r="R5" s="490"/>
    </row>
    <row r="6" spans="1:19" ht="12" customHeight="1" x14ac:dyDescent="0.3">
      <c r="A6" s="11"/>
      <c r="B6" s="15"/>
      <c r="C6" s="503"/>
      <c r="D6" s="503"/>
      <c r="E6" s="503"/>
      <c r="F6" s="503"/>
      <c r="G6" s="18"/>
      <c r="H6" s="503"/>
      <c r="I6" s="503"/>
      <c r="J6" s="503"/>
      <c r="K6" s="7"/>
      <c r="L6" s="503"/>
      <c r="M6" s="503"/>
      <c r="N6" s="503"/>
      <c r="O6" s="503"/>
      <c r="P6" s="503"/>
      <c r="Q6" s="503"/>
      <c r="R6" s="14"/>
    </row>
    <row r="7" spans="1:19" ht="7.5" customHeight="1" x14ac:dyDescent="0.3">
      <c r="A7" s="1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R7" s="7"/>
    </row>
    <row r="8" spans="1:19" ht="24.75" customHeight="1" x14ac:dyDescent="0.3">
      <c r="A8" s="11"/>
      <c r="B8" s="7"/>
      <c r="C8" s="436" t="str">
        <f>LOOKUP(Q1,DATOS!A:A,DATOS!L:L)</f>
        <v>PAISE EL ALTO</v>
      </c>
      <c r="D8" s="436"/>
      <c r="E8" s="436"/>
      <c r="F8" s="31"/>
      <c r="G8" s="479" t="str">
        <f>LOOKUP(Q1,DATOS!A:A,DATOS!M:M)</f>
        <v>NEUMOLOGIA</v>
      </c>
      <c r="H8" s="479"/>
      <c r="I8" s="479"/>
      <c r="J8" s="19"/>
      <c r="K8" s="7"/>
      <c r="L8" s="480">
        <f>LOOKUP(Q1,DATOS!A:A,DATOS!O:O)</f>
        <v>46154</v>
      </c>
      <c r="M8" s="480"/>
      <c r="N8" s="480"/>
      <c r="O8" s="480"/>
      <c r="P8" s="480"/>
      <c r="Q8" s="480"/>
      <c r="R8" s="38"/>
    </row>
    <row r="9" spans="1:19" ht="9" customHeight="1" x14ac:dyDescent="0.3">
      <c r="A9" s="11"/>
      <c r="C9" s="28"/>
      <c r="D9" s="9"/>
      <c r="E9" s="7"/>
      <c r="F9" s="7"/>
      <c r="G9" s="7"/>
      <c r="H9" s="7"/>
      <c r="I9" s="7"/>
      <c r="J9" s="7"/>
      <c r="K9" s="7"/>
      <c r="L9" s="440"/>
      <c r="M9" s="440"/>
      <c r="N9" s="440"/>
      <c r="O9" s="440"/>
      <c r="P9" s="440"/>
      <c r="Q9" s="440"/>
      <c r="R9" s="7"/>
    </row>
    <row r="10" spans="1:19" ht="33" customHeight="1" x14ac:dyDescent="0.3">
      <c r="A10" s="11"/>
      <c r="B10" s="7"/>
      <c r="C10" s="7"/>
      <c r="D10" s="7"/>
      <c r="E10" s="7"/>
      <c r="F10" s="7"/>
      <c r="G10" s="7"/>
      <c r="H10" s="481"/>
      <c r="I10" s="481"/>
      <c r="J10" s="481"/>
      <c r="K10" s="481"/>
      <c r="L10" s="481"/>
      <c r="M10" s="7"/>
      <c r="N10" s="7"/>
      <c r="O10" s="7"/>
      <c r="P10" s="7"/>
      <c r="Q10" s="7"/>
      <c r="R10" s="7"/>
    </row>
    <row r="11" spans="1:19" ht="15.75" customHeight="1" x14ac:dyDescent="0.45">
      <c r="A11" s="11"/>
      <c r="B11" s="35"/>
      <c r="C11" s="87"/>
      <c r="D11" s="126"/>
      <c r="E11" s="127"/>
      <c r="F11" s="127"/>
      <c r="G11" s="128"/>
      <c r="H11" s="129"/>
      <c r="I11" s="129"/>
      <c r="J11" s="128"/>
      <c r="K11" s="129"/>
      <c r="L11" s="129"/>
      <c r="M11" s="130"/>
      <c r="N11" s="129"/>
      <c r="O11" s="131"/>
      <c r="P11" s="131"/>
      <c r="Q11" s="121"/>
      <c r="R11" s="15"/>
      <c r="S11" s="7"/>
    </row>
    <row r="12" spans="1:19" ht="15" customHeight="1" x14ac:dyDescent="0.3">
      <c r="A12" s="11"/>
      <c r="B12" s="35"/>
      <c r="C12" s="36"/>
      <c r="D12" s="126"/>
      <c r="E12" s="132"/>
      <c r="F12" s="133"/>
      <c r="G12" s="133"/>
      <c r="H12" s="37"/>
      <c r="I12" s="128"/>
      <c r="J12" s="128"/>
      <c r="K12" s="134"/>
      <c r="L12" s="134"/>
      <c r="M12" s="126"/>
      <c r="N12" s="134"/>
      <c r="O12" s="134"/>
      <c r="P12" s="134"/>
      <c r="Q12" s="49"/>
      <c r="S12" s="7"/>
    </row>
    <row r="13" spans="1:19" ht="15" customHeight="1" x14ac:dyDescent="0.3">
      <c r="A13" s="11"/>
      <c r="B13" s="35"/>
      <c r="C13" s="35"/>
      <c r="D13" s="135"/>
      <c r="E13" s="136"/>
      <c r="F13" s="133"/>
      <c r="G13" s="133"/>
      <c r="H13" s="128"/>
      <c r="I13" s="128"/>
      <c r="J13" s="128"/>
      <c r="K13" s="134"/>
      <c r="L13" s="134"/>
      <c r="M13" s="126"/>
      <c r="N13" s="134"/>
      <c r="O13" s="134"/>
      <c r="P13" s="134"/>
      <c r="Q13" s="123"/>
      <c r="S13" s="7"/>
    </row>
    <row r="14" spans="1:19" ht="16.5" customHeight="1" x14ac:dyDescent="0.3">
      <c r="A14" s="11"/>
      <c r="B14" s="35"/>
      <c r="C14" s="35"/>
      <c r="D14" s="126"/>
      <c r="E14" s="137"/>
      <c r="F14" s="133"/>
      <c r="G14" s="133"/>
      <c r="H14" s="128"/>
      <c r="I14" s="128"/>
      <c r="J14" s="128"/>
      <c r="K14" s="134"/>
      <c r="L14" s="134"/>
      <c r="M14" s="126"/>
      <c r="N14" s="134"/>
      <c r="O14" s="134"/>
      <c r="P14" s="134"/>
      <c r="Q14" s="123"/>
      <c r="S14" s="7"/>
    </row>
    <row r="15" spans="1:19" ht="15" customHeight="1" x14ac:dyDescent="0.3">
      <c r="A15" s="11"/>
      <c r="B15" s="36"/>
      <c r="C15" s="35"/>
      <c r="D15" s="137"/>
      <c r="E15" s="138"/>
      <c r="F15" s="133"/>
      <c r="G15" s="133"/>
      <c r="H15" s="128"/>
      <c r="I15" s="128"/>
      <c r="J15" s="128"/>
      <c r="K15" s="139"/>
      <c r="L15" s="139"/>
      <c r="M15" s="126"/>
      <c r="N15" s="134"/>
      <c r="O15" s="134"/>
      <c r="P15" s="134"/>
      <c r="Q15" s="49"/>
      <c r="R15" s="20"/>
      <c r="S15" s="20"/>
    </row>
    <row r="16" spans="1:19" ht="15.75" customHeight="1" x14ac:dyDescent="0.3">
      <c r="A16" s="11"/>
      <c r="B16" s="36"/>
      <c r="C16" s="35"/>
      <c r="D16" s="126"/>
      <c r="E16" s="138"/>
      <c r="F16" s="133"/>
      <c r="G16" s="133"/>
      <c r="H16" s="128"/>
      <c r="I16" s="128"/>
      <c r="J16" s="134"/>
      <c r="K16" s="128"/>
      <c r="L16" s="134"/>
      <c r="M16" s="134"/>
      <c r="N16" s="140"/>
      <c r="O16" s="133"/>
      <c r="P16" s="133"/>
      <c r="Q16" s="36"/>
      <c r="R16" s="15"/>
      <c r="S16" s="7"/>
    </row>
    <row r="17" spans="1:19" ht="18" customHeight="1" x14ac:dyDescent="0.3">
      <c r="A17" s="11"/>
      <c r="B17" s="36"/>
      <c r="C17" s="35"/>
      <c r="D17" s="126"/>
      <c r="E17" s="141"/>
      <c r="F17" s="133"/>
      <c r="G17" s="133"/>
      <c r="H17" s="128"/>
      <c r="I17" s="128"/>
      <c r="J17" s="134"/>
      <c r="K17" s="128"/>
      <c r="L17" s="134"/>
      <c r="M17" s="134"/>
      <c r="N17" s="142"/>
      <c r="O17" s="143"/>
      <c r="P17" s="128"/>
      <c r="Q17" s="36"/>
      <c r="S17" s="7"/>
    </row>
    <row r="18" spans="1:19" ht="18" customHeight="1" x14ac:dyDescent="0.3">
      <c r="A18" s="11"/>
      <c r="B18" s="36"/>
      <c r="C18" s="35"/>
      <c r="D18" s="126"/>
      <c r="E18" s="141"/>
      <c r="F18" s="144"/>
      <c r="G18" s="128"/>
      <c r="H18" s="37"/>
      <c r="I18" s="37"/>
      <c r="J18" s="37"/>
      <c r="K18" s="37"/>
      <c r="L18" s="37"/>
      <c r="M18" s="126"/>
      <c r="N18" s="143"/>
      <c r="O18" s="143"/>
      <c r="P18" s="145"/>
      <c r="Q18" s="124"/>
      <c r="R18" s="7"/>
    </row>
    <row r="19" spans="1:19" ht="16.5" customHeight="1" x14ac:dyDescent="0.3">
      <c r="A19" s="11"/>
      <c r="B19" s="36"/>
      <c r="C19" s="36"/>
      <c r="D19" s="49"/>
      <c r="E19" s="35"/>
      <c r="F19" s="122"/>
      <c r="G19" s="122"/>
      <c r="H19" s="125"/>
      <c r="I19" s="125"/>
      <c r="J19" s="125"/>
      <c r="K19" s="36"/>
      <c r="L19" s="36"/>
      <c r="M19" s="51"/>
      <c r="N19" s="110"/>
      <c r="O19" s="36"/>
      <c r="P19" s="36"/>
      <c r="Q19" s="36"/>
      <c r="R19" s="7"/>
    </row>
    <row r="20" spans="1:19" ht="5.25" customHeight="1" x14ac:dyDescent="0.3">
      <c r="A20" s="11"/>
      <c r="B20" s="7"/>
      <c r="C20" s="7"/>
      <c r="D20" s="29"/>
      <c r="E20" s="7"/>
      <c r="F20" s="7"/>
      <c r="G20" s="7"/>
      <c r="H20" s="15"/>
      <c r="I20" s="30"/>
      <c r="J20" s="7"/>
      <c r="K20" s="7"/>
      <c r="L20" s="7"/>
      <c r="M20" s="7"/>
      <c r="N20" s="30"/>
      <c r="O20" s="7"/>
      <c r="P20" s="7"/>
      <c r="Q20" s="7"/>
      <c r="R20" s="7"/>
    </row>
    <row r="21" spans="1:19" ht="14.4" x14ac:dyDescent="0.3">
      <c r="A21" s="11"/>
      <c r="B21" s="470" t="s">
        <v>261</v>
      </c>
      <c r="C21" s="470"/>
      <c r="D21" s="470"/>
      <c r="E21" s="470"/>
      <c r="F21" s="470"/>
      <c r="G21" s="7"/>
      <c r="H21" s="9"/>
      <c r="I21" s="471">
        <f>LOOKUP(Q1,DATOS!A:A,DATOS!P:P)</f>
        <v>46156</v>
      </c>
      <c r="J21" s="471"/>
      <c r="K21" s="471"/>
      <c r="L21" s="471"/>
      <c r="M21" s="471"/>
      <c r="N21" s="471"/>
      <c r="O21" s="471"/>
      <c r="P21" s="9" t="s">
        <v>169</v>
      </c>
      <c r="Q21" s="472">
        <f ca="1">NOW()</f>
        <v>46197.396101620368</v>
      </c>
      <c r="R21" s="472"/>
    </row>
    <row r="30" spans="1:19" ht="12.75" customHeight="1" x14ac:dyDescent="0.3"/>
  </sheetData>
  <sheetProtection sheet="1" objects="1" scenarios="1"/>
  <mergeCells count="19">
    <mergeCell ref="Q1:R1"/>
    <mergeCell ref="M2:O2"/>
    <mergeCell ref="P2:R2"/>
    <mergeCell ref="P3:Q3"/>
    <mergeCell ref="C5:F5"/>
    <mergeCell ref="H5:K5"/>
    <mergeCell ref="L5:R5"/>
    <mergeCell ref="I21:O21"/>
    <mergeCell ref="Q21:R21"/>
    <mergeCell ref="J3:K3"/>
    <mergeCell ref="B21:F21"/>
    <mergeCell ref="L9:Q9"/>
    <mergeCell ref="H10:L10"/>
    <mergeCell ref="C6:F6"/>
    <mergeCell ref="H6:J6"/>
    <mergeCell ref="L6:Q6"/>
    <mergeCell ref="C8:E8"/>
    <mergeCell ref="G8:I8"/>
    <mergeCell ref="L8:Q8"/>
  </mergeCells>
  <pageMargins left="0.27559055118110237" right="0.39370078740157483" top="0.23622047244094491" bottom="0.98425196850393704" header="0" footer="0"/>
  <pageSetup orientation="portrait" blackAndWhite="1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FD506"/>
  <sheetViews>
    <sheetView tabSelected="1" zoomScale="90" zoomScaleNormal="100" zoomScaleSheetLayoutView="100" workbookViewId="0">
      <pane xSplit="9" ySplit="2" topLeftCell="CV3" activePane="bottomRight" state="frozen"/>
      <selection pane="topRight" activeCell="I1" sqref="I1"/>
      <selection pane="bottomLeft" activeCell="A3" sqref="A3"/>
      <selection pane="bottomRight" activeCell="DH14" sqref="DH14"/>
    </sheetView>
  </sheetViews>
  <sheetFormatPr baseColWidth="10" defaultColWidth="11.44140625" defaultRowHeight="14.4" x14ac:dyDescent="0.3"/>
  <cols>
    <col min="1" max="1" width="4.88671875" style="169" customWidth="1"/>
    <col min="2" max="2" width="4.44140625" style="169" customWidth="1"/>
    <col min="3" max="3" width="4" style="170" customWidth="1"/>
    <col min="4" max="4" width="18" style="169" customWidth="1"/>
    <col min="5" max="5" width="15.109375" style="169" customWidth="1"/>
    <col min="6" max="6" width="18" style="169" customWidth="1"/>
    <col min="7" max="7" width="30.109375" style="169" hidden="1" customWidth="1"/>
    <col min="8" max="8" width="6.109375" style="169" customWidth="1"/>
    <col min="9" max="10" width="12.5546875" style="169" customWidth="1"/>
    <col min="11" max="12" width="14" style="171" customWidth="1"/>
    <col min="13" max="13" width="14.6640625" style="169" customWidth="1"/>
    <col min="14" max="14" width="16.6640625" style="216" customWidth="1"/>
    <col min="15" max="15" width="13.88671875" style="216" customWidth="1"/>
    <col min="16" max="16" width="16.5546875" style="172" customWidth="1"/>
    <col min="17" max="17" width="6.6640625" style="169" customWidth="1"/>
    <col min="18" max="18" width="9.6640625" style="169" customWidth="1"/>
    <col min="19" max="19" width="7.109375" style="169" customWidth="1"/>
    <col min="20" max="20" width="8" style="173" customWidth="1"/>
    <col min="21" max="21" width="11.44140625" style="174"/>
    <col min="22" max="22" width="11.44140625" style="217"/>
    <col min="23" max="25" width="0" style="174" hidden="1" customWidth="1"/>
    <col min="26" max="26" width="11.44140625" style="174"/>
    <col min="27" max="27" width="6.6640625" style="174" customWidth="1"/>
    <col min="28" max="28" width="7" style="174" customWidth="1"/>
    <col min="29" max="29" width="6.88671875" style="174" customWidth="1"/>
    <col min="30" max="30" width="6" style="174" customWidth="1"/>
    <col min="31" max="33" width="7.33203125" style="174" customWidth="1"/>
    <col min="34" max="34" width="6.109375" style="174" customWidth="1"/>
    <col min="35" max="35" width="6.44140625" style="234" customWidth="1"/>
    <col min="36" max="36" width="11.44140625" style="174"/>
    <col min="37" max="37" width="19.44140625" style="174" customWidth="1"/>
    <col min="38" max="38" width="15" style="219" customWidth="1"/>
    <col min="39" max="39" width="15" style="275" customWidth="1"/>
    <col min="40" max="40" width="7.88671875" style="275" customWidth="1"/>
    <col min="41" max="41" width="4" style="178" hidden="1" customWidth="1"/>
    <col min="42" max="42" width="9.44140625" style="178" hidden="1" customWidth="1"/>
    <col min="43" max="43" width="20.5546875" style="237" customWidth="1"/>
    <col min="44" max="44" width="9.33203125" style="220" customWidth="1"/>
    <col min="45" max="45" width="9.33203125" style="345" customWidth="1"/>
    <col min="46" max="47" width="13.88671875" style="221" customWidth="1"/>
    <col min="48" max="48" width="15" style="221" customWidth="1"/>
    <col min="49" max="49" width="11.44140625" style="221"/>
    <col min="50" max="50" width="7.33203125" style="222" customWidth="1"/>
    <col min="51" max="51" width="14.5546875" style="179" customWidth="1"/>
    <col min="52" max="52" width="13.44140625" style="174" customWidth="1"/>
    <col min="53" max="53" width="13.33203125" style="174" customWidth="1"/>
    <col min="54" max="54" width="18.109375" style="174" customWidth="1"/>
    <col min="55" max="55" width="6.88671875" style="183" customWidth="1"/>
    <col min="56" max="56" width="6.88671875" style="223" customWidth="1"/>
    <col min="57" max="57" width="6.5546875" style="183" customWidth="1"/>
    <col min="58" max="58" width="7.44140625" style="242" customWidth="1"/>
    <col min="59" max="59" width="7.5546875" style="223" customWidth="1"/>
    <col min="60" max="60" width="8.6640625" style="183" customWidth="1"/>
    <col min="61" max="61" width="7.44140625" style="183" customWidth="1"/>
    <col min="62" max="62" width="7.6640625" style="183" customWidth="1"/>
    <col min="63" max="63" width="6.33203125" style="183" customWidth="1"/>
    <col min="64" max="64" width="7.109375" style="241" customWidth="1"/>
    <col min="65" max="65" width="8.33203125" style="241" customWidth="1"/>
    <col min="66" max="66" width="6.88671875" style="184" customWidth="1"/>
    <col min="67" max="67" width="7" style="184" customWidth="1"/>
    <col min="68" max="68" width="8.109375" style="184" customWidth="1"/>
    <col min="69" max="69" width="7.6640625" style="184" customWidth="1"/>
    <col min="70" max="70" width="5.6640625" style="184" customWidth="1"/>
    <col min="71" max="71" width="6.6640625" style="245" customWidth="1"/>
    <col min="72" max="72" width="7.44140625" style="183" customWidth="1"/>
    <col min="73" max="73" width="6.88671875" style="183" customWidth="1"/>
    <col min="74" max="74" width="13.6640625" style="242" customWidth="1"/>
    <col min="75" max="75" width="10.6640625" style="242" customWidth="1"/>
    <col min="76" max="76" width="11.44140625" style="183"/>
    <col min="77" max="77" width="8.5546875" style="225" customWidth="1"/>
    <col min="78" max="78" width="9.88671875" style="226" customWidth="1"/>
    <col min="79" max="79" width="10.44140625" style="225" customWidth="1"/>
    <col min="80" max="80" width="7.88671875" style="169" customWidth="1"/>
    <col min="81" max="81" width="8.109375" style="169" customWidth="1"/>
    <col min="82" max="82" width="10.5546875" style="169" customWidth="1"/>
    <col min="83" max="83" width="17.5546875" style="227" customWidth="1"/>
    <col min="84" max="84" width="15.44140625" style="186" customWidth="1"/>
    <col min="85" max="86" width="11.44140625" style="186"/>
    <col min="87" max="87" width="12.5546875" style="186" customWidth="1"/>
    <col min="88" max="92" width="11.44140625" style="186"/>
    <col min="93" max="93" width="13.33203125" style="228" bestFit="1" customWidth="1"/>
    <col min="94" max="95" width="11.44140625" style="228"/>
    <col min="96" max="96" width="14.44140625" style="228" customWidth="1"/>
    <col min="97" max="99" width="14.44140625" style="217" customWidth="1"/>
    <col min="100" max="100" width="7.5546875" style="187" customWidth="1"/>
    <col min="101" max="101" width="21.5546875" style="187" customWidth="1"/>
    <col min="102" max="102" width="13.33203125" style="187" customWidth="1"/>
    <col min="103" max="103" width="11.44140625" style="187"/>
    <col min="104" max="104" width="7.5546875" style="187" customWidth="1"/>
    <col min="105" max="105" width="8.6640625" style="187" customWidth="1"/>
    <col min="106" max="106" width="11.44140625" style="187"/>
    <col min="107" max="107" width="11.44140625" style="188"/>
    <col min="108" max="108" width="5.6640625" style="189" customWidth="1"/>
    <col min="109" max="109" width="10.5546875" style="190" customWidth="1"/>
    <col min="110" max="114" width="10.5546875" style="187" customWidth="1"/>
    <col min="115" max="115" width="10.5546875" style="191" customWidth="1"/>
    <col min="116" max="116" width="11.44140625" style="190"/>
    <col min="117" max="117" width="11.44140625" style="187"/>
    <col min="118" max="118" width="8.6640625" style="187" customWidth="1"/>
    <col min="119" max="122" width="11.44140625" style="187"/>
    <col min="123" max="123" width="45" style="187" customWidth="1"/>
    <col min="124" max="127" width="9.109375" style="187" customWidth="1"/>
    <col min="128" max="128" width="31.88671875" style="187" customWidth="1"/>
    <col min="129" max="129" width="27.44140625" style="187" customWidth="1"/>
    <col min="130" max="130" width="20.44140625" style="187" customWidth="1"/>
    <col min="131" max="131" width="15.33203125" style="184" hidden="1" customWidth="1"/>
    <col min="132" max="132" width="15.33203125" style="184" customWidth="1"/>
    <col min="133" max="133" width="15.33203125" style="184" hidden="1" customWidth="1"/>
    <col min="134" max="134" width="22.88671875" style="5" customWidth="1"/>
    <col min="135" max="140" width="11.44140625" style="5"/>
    <col min="141" max="141" width="30.6640625" style="5" customWidth="1"/>
    <col min="142" max="145" width="11.44140625" style="5"/>
    <col min="146" max="146" width="20" style="5" customWidth="1"/>
    <col min="147" max="149" width="11.44140625" style="5"/>
    <col min="150" max="150" width="22.88671875" style="5" customWidth="1"/>
    <col min="151" max="154" width="11.44140625" style="5"/>
    <col min="155" max="155" width="11.44140625" style="3"/>
    <col min="156" max="156" width="11.44140625" style="25"/>
    <col min="157" max="157" width="11.44140625" style="3"/>
    <col min="158" max="158" width="12.44140625" style="25" bestFit="1" customWidth="1"/>
    <col min="159" max="159" width="11.44140625" style="22"/>
    <col min="160" max="160" width="11.44140625" style="25"/>
    <col min="161" max="16384" width="11.44140625" style="1"/>
  </cols>
  <sheetData>
    <row r="1" spans="1:160" ht="45" customHeight="1" x14ac:dyDescent="0.6">
      <c r="D1" s="616" t="s">
        <v>262</v>
      </c>
      <c r="E1" s="617"/>
      <c r="F1" s="618"/>
      <c r="U1" s="619" t="s">
        <v>263</v>
      </c>
      <c r="V1" s="620"/>
      <c r="W1" s="620"/>
      <c r="X1" s="620"/>
      <c r="Y1" s="620"/>
      <c r="Z1" s="620"/>
      <c r="AA1" s="620"/>
      <c r="AB1" s="620"/>
      <c r="AC1" s="621"/>
      <c r="AK1" s="175"/>
      <c r="AL1" s="176"/>
      <c r="AM1" s="273"/>
      <c r="AN1" s="273"/>
      <c r="AO1" s="177"/>
      <c r="AP1" s="177"/>
      <c r="AR1" s="622" t="s">
        <v>264</v>
      </c>
      <c r="AS1" s="623"/>
      <c r="AT1" s="623"/>
      <c r="AU1" s="623"/>
      <c r="AV1" s="623"/>
      <c r="AW1" s="623"/>
      <c r="AX1" s="624"/>
      <c r="BC1" s="180" t="s">
        <v>29</v>
      </c>
      <c r="BD1" s="181"/>
      <c r="BE1" s="181"/>
      <c r="BF1" s="239"/>
      <c r="BG1" s="181"/>
      <c r="BH1" s="182"/>
      <c r="BY1" s="635" t="s">
        <v>112</v>
      </c>
      <c r="BZ1" s="636"/>
      <c r="CA1" s="637"/>
      <c r="CB1" s="656" t="s">
        <v>115</v>
      </c>
      <c r="CC1" s="657"/>
      <c r="CD1" s="657"/>
      <c r="CE1" s="185"/>
      <c r="CF1" s="647" t="s">
        <v>55</v>
      </c>
      <c r="CG1" s="648"/>
      <c r="CH1" s="649"/>
      <c r="CO1" s="650" t="s">
        <v>64</v>
      </c>
      <c r="CP1" s="651"/>
      <c r="CQ1" s="651"/>
      <c r="CR1" s="652"/>
      <c r="CS1" s="629" t="s">
        <v>149</v>
      </c>
      <c r="CT1" s="630"/>
      <c r="CU1" s="631"/>
      <c r="CV1" s="653" t="s">
        <v>69</v>
      </c>
      <c r="CW1" s="654"/>
      <c r="CX1" s="655"/>
      <c r="DT1" s="192" t="s">
        <v>91</v>
      </c>
      <c r="DU1" s="192"/>
      <c r="DV1" s="192"/>
      <c r="DW1" s="192"/>
      <c r="EA1" s="641" t="s">
        <v>149</v>
      </c>
      <c r="EB1" s="642"/>
      <c r="EC1" s="643"/>
      <c r="ED1" s="644" t="s">
        <v>97</v>
      </c>
      <c r="EE1" s="645"/>
      <c r="EF1" s="645"/>
      <c r="EG1" s="646"/>
      <c r="EH1" s="165"/>
      <c r="EJ1" s="10"/>
      <c r="EK1" s="638" t="s">
        <v>99</v>
      </c>
      <c r="EL1" s="639"/>
      <c r="EM1" s="640"/>
      <c r="EN1" s="625" t="s">
        <v>101</v>
      </c>
      <c r="EO1" s="626"/>
      <c r="EP1" s="386"/>
      <c r="EQ1" s="627" t="s">
        <v>103</v>
      </c>
      <c r="ER1" s="628"/>
      <c r="ET1" s="5" t="s">
        <v>126</v>
      </c>
      <c r="EU1" s="5" t="s">
        <v>77</v>
      </c>
      <c r="EY1" s="632" t="s">
        <v>106</v>
      </c>
      <c r="EZ1" s="633"/>
      <c r="FA1" s="633"/>
      <c r="FB1" s="633"/>
      <c r="FC1" s="633"/>
      <c r="FD1" s="634"/>
    </row>
    <row r="2" spans="1:160" s="2" customFormat="1" ht="57.75" customHeight="1" x14ac:dyDescent="0.3">
      <c r="A2" s="193" t="s">
        <v>92</v>
      </c>
      <c r="B2" s="194" t="s">
        <v>93</v>
      </c>
      <c r="C2" s="194" t="s">
        <v>247</v>
      </c>
      <c r="D2" s="193" t="s">
        <v>0</v>
      </c>
      <c r="E2" s="193" t="s">
        <v>1</v>
      </c>
      <c r="F2" s="193" t="s">
        <v>2</v>
      </c>
      <c r="G2" s="193" t="s">
        <v>5</v>
      </c>
      <c r="H2" s="193" t="s">
        <v>3</v>
      </c>
      <c r="I2" s="193" t="s">
        <v>4</v>
      </c>
      <c r="J2" s="193" t="s">
        <v>277</v>
      </c>
      <c r="K2" s="193" t="s">
        <v>141</v>
      </c>
      <c r="L2" s="193" t="s">
        <v>142</v>
      </c>
      <c r="M2" s="193" t="s">
        <v>143</v>
      </c>
      <c r="N2" s="355" t="s">
        <v>6</v>
      </c>
      <c r="O2" s="355" t="s">
        <v>7</v>
      </c>
      <c r="P2" s="195" t="s">
        <v>8</v>
      </c>
      <c r="Q2" s="193" t="s">
        <v>144</v>
      </c>
      <c r="R2" s="193" t="s">
        <v>145</v>
      </c>
      <c r="S2" s="193" t="s">
        <v>9</v>
      </c>
      <c r="T2" s="196" t="s">
        <v>10</v>
      </c>
      <c r="U2" s="197" t="s">
        <v>11</v>
      </c>
      <c r="V2" s="198" t="s">
        <v>12</v>
      </c>
      <c r="W2" s="197" t="s">
        <v>13</v>
      </c>
      <c r="X2" s="197" t="s">
        <v>14</v>
      </c>
      <c r="Y2" s="197" t="s">
        <v>15</v>
      </c>
      <c r="Z2" s="197" t="s">
        <v>16</v>
      </c>
      <c r="AA2" s="197" t="s">
        <v>17</v>
      </c>
      <c r="AB2" s="197" t="s">
        <v>18</v>
      </c>
      <c r="AC2" s="197" t="s">
        <v>19</v>
      </c>
      <c r="AD2" s="197" t="s">
        <v>20</v>
      </c>
      <c r="AE2" s="197" t="s">
        <v>21</v>
      </c>
      <c r="AF2" s="197" t="s">
        <v>157</v>
      </c>
      <c r="AG2" s="197" t="s">
        <v>158</v>
      </c>
      <c r="AH2" s="197" t="s">
        <v>109</v>
      </c>
      <c r="AI2" s="235" t="s">
        <v>22</v>
      </c>
      <c r="AJ2" s="197" t="s">
        <v>23</v>
      </c>
      <c r="AK2" s="197" t="s">
        <v>283</v>
      </c>
      <c r="AL2" s="199" t="s">
        <v>153</v>
      </c>
      <c r="AM2" s="274" t="s">
        <v>147</v>
      </c>
      <c r="AN2" s="274" t="s">
        <v>146</v>
      </c>
      <c r="AO2" s="200"/>
      <c r="AP2" s="200"/>
      <c r="AQ2" s="238" t="s">
        <v>148</v>
      </c>
      <c r="AR2" s="346" t="s">
        <v>503</v>
      </c>
      <c r="AS2" s="346" t="s">
        <v>504</v>
      </c>
      <c r="AT2" s="201" t="s">
        <v>505</v>
      </c>
      <c r="AU2" s="201" t="s">
        <v>506</v>
      </c>
      <c r="AV2" s="201" t="s">
        <v>119</v>
      </c>
      <c r="AW2" s="201" t="s">
        <v>24</v>
      </c>
      <c r="AX2" s="202" t="s">
        <v>25</v>
      </c>
      <c r="AY2" s="203" t="s">
        <v>26</v>
      </c>
      <c r="AZ2" s="197" t="s">
        <v>121</v>
      </c>
      <c r="BA2" s="197" t="s">
        <v>27</v>
      </c>
      <c r="BB2" s="197" t="s">
        <v>28</v>
      </c>
      <c r="BC2" s="204" t="s">
        <v>132</v>
      </c>
      <c r="BD2" s="205" t="s">
        <v>117</v>
      </c>
      <c r="BE2" s="204" t="s">
        <v>31</v>
      </c>
      <c r="BF2" s="240" t="s">
        <v>30</v>
      </c>
      <c r="BG2" s="205" t="s">
        <v>32</v>
      </c>
      <c r="BH2" s="204" t="s">
        <v>47</v>
      </c>
      <c r="BI2" s="204" t="s">
        <v>33</v>
      </c>
      <c r="BJ2" s="204" t="s">
        <v>34</v>
      </c>
      <c r="BK2" s="204" t="s">
        <v>35</v>
      </c>
      <c r="BL2" s="243" t="s">
        <v>36</v>
      </c>
      <c r="BM2" s="243" t="s">
        <v>131</v>
      </c>
      <c r="BN2" s="206" t="s">
        <v>37</v>
      </c>
      <c r="BO2" s="206" t="s">
        <v>38</v>
      </c>
      <c r="BP2" s="206" t="s">
        <v>39</v>
      </c>
      <c r="BQ2" s="206" t="s">
        <v>40</v>
      </c>
      <c r="BR2" s="206" t="s">
        <v>41</v>
      </c>
      <c r="BS2" s="246" t="s">
        <v>42</v>
      </c>
      <c r="BT2" s="204" t="s">
        <v>43</v>
      </c>
      <c r="BU2" s="204" t="s">
        <v>44</v>
      </c>
      <c r="BV2" s="240" t="s">
        <v>46</v>
      </c>
      <c r="BW2" s="240" t="s">
        <v>45</v>
      </c>
      <c r="BX2" s="204" t="s">
        <v>48</v>
      </c>
      <c r="BY2" s="207" t="s">
        <v>49</v>
      </c>
      <c r="BZ2" s="208" t="s">
        <v>50</v>
      </c>
      <c r="CA2" s="207" t="s">
        <v>51</v>
      </c>
      <c r="CB2" s="193" t="s">
        <v>52</v>
      </c>
      <c r="CC2" s="193" t="s">
        <v>53</v>
      </c>
      <c r="CD2" s="193" t="s">
        <v>54</v>
      </c>
      <c r="CE2" s="209" t="s">
        <v>28</v>
      </c>
      <c r="CF2" s="210" t="s">
        <v>56</v>
      </c>
      <c r="CG2" s="210" t="s">
        <v>57</v>
      </c>
      <c r="CH2" s="210" t="s">
        <v>58</v>
      </c>
      <c r="CI2" s="210" t="s">
        <v>59</v>
      </c>
      <c r="CJ2" s="210" t="s">
        <v>60</v>
      </c>
      <c r="CK2" s="210" t="s">
        <v>61</v>
      </c>
      <c r="CL2" s="210" t="s">
        <v>189</v>
      </c>
      <c r="CM2" s="210" t="s">
        <v>62</v>
      </c>
      <c r="CN2" s="210" t="s">
        <v>63</v>
      </c>
      <c r="CO2" s="211" t="s">
        <v>65</v>
      </c>
      <c r="CP2" s="211" t="s">
        <v>66</v>
      </c>
      <c r="CQ2" s="211" t="s">
        <v>67</v>
      </c>
      <c r="CR2" s="211" t="s">
        <v>68</v>
      </c>
      <c r="CS2" s="198" t="s">
        <v>540</v>
      </c>
      <c r="CT2" s="198" t="s">
        <v>166</v>
      </c>
      <c r="CU2" s="198" t="s">
        <v>152</v>
      </c>
      <c r="CV2" s="192" t="s">
        <v>54</v>
      </c>
      <c r="CW2" s="192" t="s">
        <v>70</v>
      </c>
      <c r="CX2" s="192" t="s">
        <v>72</v>
      </c>
      <c r="CY2" s="192" t="s">
        <v>71</v>
      </c>
      <c r="CZ2" s="192" t="s">
        <v>76</v>
      </c>
      <c r="DA2" s="192" t="s">
        <v>105</v>
      </c>
      <c r="DB2" s="192" t="s">
        <v>77</v>
      </c>
      <c r="DC2" s="212" t="s">
        <v>74</v>
      </c>
      <c r="DD2" s="213" t="s">
        <v>73</v>
      </c>
      <c r="DE2" s="214" t="s">
        <v>43</v>
      </c>
      <c r="DF2" s="192" t="s">
        <v>79</v>
      </c>
      <c r="DG2" s="192" t="s">
        <v>78</v>
      </c>
      <c r="DH2" s="192" t="s">
        <v>201</v>
      </c>
      <c r="DI2" s="192" t="s">
        <v>80</v>
      </c>
      <c r="DJ2" s="192" t="s">
        <v>81</v>
      </c>
      <c r="DK2" s="215" t="s">
        <v>82</v>
      </c>
      <c r="DL2" s="214" t="s">
        <v>83</v>
      </c>
      <c r="DM2" s="192" t="s">
        <v>85</v>
      </c>
      <c r="DN2" s="192" t="s">
        <v>84</v>
      </c>
      <c r="DO2" s="192" t="s">
        <v>86</v>
      </c>
      <c r="DP2" s="192" t="s">
        <v>87</v>
      </c>
      <c r="DQ2" s="192" t="s">
        <v>88</v>
      </c>
      <c r="DR2" s="192" t="s">
        <v>90</v>
      </c>
      <c r="DS2" s="192" t="s">
        <v>89</v>
      </c>
      <c r="DT2" s="192" t="s">
        <v>202</v>
      </c>
      <c r="DU2" s="192" t="s">
        <v>203</v>
      </c>
      <c r="DV2" s="192" t="s">
        <v>204</v>
      </c>
      <c r="DW2" s="192" t="s">
        <v>205</v>
      </c>
      <c r="DX2" s="192" t="s">
        <v>105</v>
      </c>
      <c r="DY2" s="192" t="s">
        <v>206</v>
      </c>
      <c r="DZ2" s="192" t="s">
        <v>207</v>
      </c>
      <c r="EA2" s="206" t="s">
        <v>150</v>
      </c>
      <c r="EB2" s="206" t="s">
        <v>151</v>
      </c>
      <c r="EC2" s="206" t="s">
        <v>152</v>
      </c>
      <c r="ED2" s="6" t="s">
        <v>98</v>
      </c>
      <c r="EE2" s="6" t="s">
        <v>54</v>
      </c>
      <c r="EF2" s="6" t="s">
        <v>70</v>
      </c>
      <c r="EG2" s="6" t="s">
        <v>71</v>
      </c>
      <c r="EH2" s="6" t="s">
        <v>73</v>
      </c>
      <c r="EI2" s="6" t="s">
        <v>75</v>
      </c>
      <c r="EJ2" s="6" t="s">
        <v>105</v>
      </c>
      <c r="EK2" s="6" t="s">
        <v>100</v>
      </c>
      <c r="EL2" s="6" t="s">
        <v>70</v>
      </c>
      <c r="EM2" s="6" t="s">
        <v>71</v>
      </c>
      <c r="EN2" s="6" t="s">
        <v>79</v>
      </c>
      <c r="EO2" s="6" t="s">
        <v>102</v>
      </c>
      <c r="EP2" s="6" t="s">
        <v>28</v>
      </c>
      <c r="EQ2" s="6" t="s">
        <v>85</v>
      </c>
      <c r="ER2" s="6" t="s">
        <v>96</v>
      </c>
      <c r="ES2" s="6" t="s">
        <v>95</v>
      </c>
      <c r="ET2" s="6" t="s">
        <v>125</v>
      </c>
      <c r="EU2" s="6" t="s">
        <v>85</v>
      </c>
      <c r="EV2" s="6" t="s">
        <v>104</v>
      </c>
      <c r="EW2" s="6" t="s">
        <v>87</v>
      </c>
      <c r="EX2" s="6" t="s">
        <v>105</v>
      </c>
      <c r="EY2" s="4" t="s">
        <v>107</v>
      </c>
      <c r="EZ2" s="24" t="s">
        <v>108</v>
      </c>
      <c r="FA2" s="4" t="s">
        <v>198</v>
      </c>
      <c r="FB2" s="24" t="s">
        <v>108</v>
      </c>
      <c r="FC2" s="21" t="s">
        <v>199</v>
      </c>
      <c r="FD2" s="24" t="s">
        <v>108</v>
      </c>
    </row>
    <row r="3" spans="1:160" x14ac:dyDescent="0.3">
      <c r="A3" s="169">
        <v>1</v>
      </c>
      <c r="B3" s="169">
        <v>1</v>
      </c>
      <c r="D3" s="169" t="s">
        <v>582</v>
      </c>
      <c r="E3" s="169" t="s">
        <v>582</v>
      </c>
      <c r="F3" s="169" t="s">
        <v>583</v>
      </c>
      <c r="G3" s="169" t="str">
        <f t="shared" ref="G3:G66" si="0">CONCATENATE(D3," ",E3," ",F3)</f>
        <v>SIRPA SIRPA ANCELMO</v>
      </c>
      <c r="H3" s="170">
        <v>72</v>
      </c>
      <c r="I3" s="169" t="s">
        <v>111</v>
      </c>
      <c r="J3" s="169" t="s">
        <v>584</v>
      </c>
      <c r="K3" s="171" t="s">
        <v>557</v>
      </c>
      <c r="L3" s="171" t="s">
        <v>156</v>
      </c>
      <c r="M3" s="169" t="s">
        <v>585</v>
      </c>
      <c r="N3" s="216" t="s">
        <v>586</v>
      </c>
      <c r="O3" s="216">
        <v>46108</v>
      </c>
      <c r="P3" s="172">
        <v>46156</v>
      </c>
      <c r="Q3" s="216"/>
      <c r="R3" s="216"/>
      <c r="U3" s="174">
        <v>51</v>
      </c>
      <c r="V3" s="217">
        <v>16.2</v>
      </c>
      <c r="Z3" s="174">
        <v>6020</v>
      </c>
      <c r="AA3" s="174">
        <v>69</v>
      </c>
      <c r="AB3" s="174">
        <v>28</v>
      </c>
      <c r="AC3" s="174">
        <v>2</v>
      </c>
      <c r="AD3" s="174">
        <v>1</v>
      </c>
      <c r="AI3" s="236">
        <f>SUM(AA3:AH3)</f>
        <v>100</v>
      </c>
      <c r="AJ3" s="218">
        <v>218000</v>
      </c>
      <c r="AM3" s="275">
        <v>5</v>
      </c>
      <c r="AO3" s="178">
        <f>AN3/2</f>
        <v>0</v>
      </c>
      <c r="AP3" s="178">
        <f>AM3+AO3</f>
        <v>5</v>
      </c>
      <c r="AQ3" s="237" t="str">
        <f>IF(AN3="","",AP3/2)</f>
        <v/>
      </c>
      <c r="AR3" s="220" t="s">
        <v>536</v>
      </c>
      <c r="AS3" s="345" t="s">
        <v>536</v>
      </c>
      <c r="AT3" s="221" t="s">
        <v>536</v>
      </c>
      <c r="AU3" s="221" t="s">
        <v>536</v>
      </c>
      <c r="AV3" s="221">
        <v>12</v>
      </c>
      <c r="AW3" s="221">
        <v>100</v>
      </c>
      <c r="AX3" s="222">
        <v>1</v>
      </c>
      <c r="BC3" s="183">
        <v>87</v>
      </c>
      <c r="BD3" s="223">
        <v>1.4</v>
      </c>
      <c r="BF3" s="241" t="str">
        <f t="shared" ref="BF3:BF66" si="1">IF(BE3="","",BE3/2.14)</f>
        <v/>
      </c>
      <c r="BI3" s="183">
        <v>176</v>
      </c>
      <c r="BJ3" s="183">
        <v>132</v>
      </c>
      <c r="BL3" s="241" t="str">
        <f>IF(BK3="","",IF(AND(BJ3&gt;400,BK3&gt;1),"No Procede",IF(BK3&lt;1,"",BI3-BK3-(BJ3/5))))</f>
        <v/>
      </c>
      <c r="BM3" s="241" t="str">
        <f>IF(BK3="","",IF(AND(BJ3&gt;400,BK3&gt;1),"NO PROCEDE",IF(BK3="","",BJ3/5)))</f>
        <v/>
      </c>
      <c r="BS3" s="247"/>
      <c r="BT3" s="183">
        <v>6.7</v>
      </c>
      <c r="BU3" s="183">
        <v>3.6</v>
      </c>
      <c r="BV3" s="242">
        <f>IF(OR(BT3="",BU3=""),"",ROUND(BT3-BU3,1))</f>
        <v>3.1</v>
      </c>
      <c r="BW3" s="248">
        <f>IF(OR(BT3="",BU3=""),"",ROUND(BU3/BV3,1))</f>
        <v>1.2</v>
      </c>
      <c r="CO3" s="228" t="s">
        <v>536</v>
      </c>
      <c r="CP3" s="228" t="s">
        <v>536</v>
      </c>
      <c r="CQ3" s="228" t="s">
        <v>536</v>
      </c>
      <c r="CR3" s="228" t="s">
        <v>536</v>
      </c>
      <c r="DL3" s="229"/>
      <c r="DS3" s="230"/>
      <c r="FA3" s="23"/>
      <c r="FC3" s="23"/>
    </row>
    <row r="4" spans="1:160" x14ac:dyDescent="0.3">
      <c r="A4" s="169">
        <v>2</v>
      </c>
      <c r="B4" s="169">
        <v>2</v>
      </c>
      <c r="D4" s="169" t="s">
        <v>568</v>
      </c>
      <c r="E4" s="169" t="s">
        <v>587</v>
      </c>
      <c r="F4" s="169" t="s">
        <v>588</v>
      </c>
      <c r="G4" s="169" t="str">
        <f t="shared" si="0"/>
        <v>CONDORI LEOCA CONZI AMALIA</v>
      </c>
      <c r="H4" s="170">
        <v>47</v>
      </c>
      <c r="I4" s="169" t="s">
        <v>259</v>
      </c>
      <c r="J4" s="169" t="s">
        <v>589</v>
      </c>
      <c r="K4" s="231" t="s">
        <v>557</v>
      </c>
      <c r="L4" s="171" t="s">
        <v>156</v>
      </c>
      <c r="M4" s="169" t="s">
        <v>558</v>
      </c>
      <c r="N4" s="216" t="s">
        <v>559</v>
      </c>
      <c r="O4" s="216">
        <v>46097</v>
      </c>
      <c r="P4" s="172">
        <v>46156</v>
      </c>
      <c r="Q4" s="216"/>
      <c r="R4" s="216"/>
      <c r="U4" s="174">
        <v>48</v>
      </c>
      <c r="V4" s="217">
        <v>15.3</v>
      </c>
      <c r="Z4" s="174">
        <v>8210</v>
      </c>
      <c r="AA4" s="174">
        <v>70</v>
      </c>
      <c r="AB4" s="174">
        <v>27</v>
      </c>
      <c r="AC4" s="174">
        <v>3</v>
      </c>
      <c r="AI4" s="236">
        <f t="shared" ref="AI4:AI67" si="2">SUM(AA4:AH4)</f>
        <v>100</v>
      </c>
      <c r="AJ4" s="218">
        <v>298000</v>
      </c>
      <c r="AM4" s="275">
        <v>33</v>
      </c>
      <c r="AO4" s="178">
        <f t="shared" ref="AO4:AO67" si="3">AN4/2</f>
        <v>0</v>
      </c>
      <c r="AP4" s="178">
        <f t="shared" ref="AP4:AP67" si="4">AM4+AO4</f>
        <v>33</v>
      </c>
      <c r="AQ4" s="237" t="str">
        <f t="shared" ref="AQ4:AQ67" si="5">IF(AN4="","",AP4/2)</f>
        <v/>
      </c>
      <c r="AR4" s="220" t="s">
        <v>536</v>
      </c>
      <c r="AS4" s="345" t="s">
        <v>536</v>
      </c>
      <c r="AT4" s="221" t="s">
        <v>536</v>
      </c>
      <c r="AU4" s="221" t="s">
        <v>536</v>
      </c>
      <c r="AV4" s="221" t="s">
        <v>536</v>
      </c>
      <c r="AW4" s="221" t="s">
        <v>536</v>
      </c>
      <c r="AX4" s="222" t="s">
        <v>536</v>
      </c>
      <c r="BC4" s="183">
        <v>83</v>
      </c>
      <c r="BD4" s="223">
        <v>1</v>
      </c>
      <c r="BF4" s="241" t="str">
        <f t="shared" si="1"/>
        <v/>
      </c>
      <c r="BL4" s="241" t="str">
        <f t="shared" ref="BL4:BL67" si="6">IF(BK4="","",IF(AND(BJ4&gt;400,BK4&gt;1),"No Procede",IF(BK4&lt;1,"",BI4-BK4-(BJ4/5))))</f>
        <v/>
      </c>
      <c r="BM4" s="241" t="str">
        <f t="shared" ref="BM4:BM67" si="7">IF(BK4="","",IF(AND(BJ4&gt;400,BK4&gt;1),"NO PROCEDE",IF(BK4="","",BJ4/5)))</f>
        <v/>
      </c>
      <c r="BN4" s="184">
        <v>30</v>
      </c>
      <c r="BO4" s="184">
        <v>30</v>
      </c>
      <c r="BS4" s="247"/>
      <c r="BU4" s="183">
        <v>3.3</v>
      </c>
      <c r="BV4" s="242" t="str">
        <f t="shared" ref="BV4:BV67" si="8">IF(OR(BT4="",BU4=""),"",ROUND(BT4-BU4,1))</f>
        <v/>
      </c>
      <c r="BW4" s="248" t="str">
        <f t="shared" ref="BW4:BW67" si="9">IF(OR(BT4="",BU4=""),"",ROUND(BU4/BV4,1))</f>
        <v/>
      </c>
      <c r="CE4" s="227" t="s">
        <v>560</v>
      </c>
      <c r="CF4" s="186">
        <v>6.4</v>
      </c>
      <c r="CG4" s="186">
        <v>256</v>
      </c>
      <c r="CO4" s="228" t="s">
        <v>536</v>
      </c>
      <c r="CP4" s="228" t="s">
        <v>536</v>
      </c>
      <c r="CQ4" s="228" t="s">
        <v>536</v>
      </c>
      <c r="CR4" s="228" t="s">
        <v>536</v>
      </c>
    </row>
    <row r="5" spans="1:160" x14ac:dyDescent="0.3">
      <c r="A5" s="169">
        <v>3</v>
      </c>
      <c r="B5" s="169">
        <v>3</v>
      </c>
      <c r="C5" s="170" t="s">
        <v>545</v>
      </c>
      <c r="D5" s="169" t="s">
        <v>546</v>
      </c>
      <c r="E5" s="169" t="s">
        <v>547</v>
      </c>
      <c r="F5" s="169" t="s">
        <v>548</v>
      </c>
      <c r="G5" s="169" t="str">
        <f t="shared" si="0"/>
        <v>SALLINAS ASQUICHO FELIPA</v>
      </c>
      <c r="H5" s="170">
        <v>73</v>
      </c>
      <c r="I5" s="169" t="s">
        <v>259</v>
      </c>
      <c r="J5" s="169" t="s">
        <v>549</v>
      </c>
      <c r="K5" s="171">
        <v>58</v>
      </c>
      <c r="L5" s="171" t="s">
        <v>156</v>
      </c>
      <c r="M5" s="169" t="s">
        <v>550</v>
      </c>
      <c r="N5" s="216" t="s">
        <v>551</v>
      </c>
      <c r="O5" s="216">
        <v>46154</v>
      </c>
      <c r="P5" s="172">
        <v>46156</v>
      </c>
      <c r="Q5" s="216"/>
      <c r="R5" s="216"/>
      <c r="U5" s="174">
        <v>46</v>
      </c>
      <c r="V5" s="217">
        <v>14.8</v>
      </c>
      <c r="Z5" s="174">
        <v>6560</v>
      </c>
      <c r="AA5" s="174">
        <v>65</v>
      </c>
      <c r="AB5" s="174">
        <v>33</v>
      </c>
      <c r="AC5" s="174">
        <v>1</v>
      </c>
      <c r="AD5" s="174">
        <v>1</v>
      </c>
      <c r="AI5" s="236">
        <f t="shared" si="2"/>
        <v>100</v>
      </c>
      <c r="AJ5" s="218">
        <v>323000</v>
      </c>
      <c r="AM5" s="275" t="s">
        <v>536</v>
      </c>
      <c r="AO5" s="178">
        <f t="shared" si="3"/>
        <v>0</v>
      </c>
      <c r="AP5" s="178" t="e">
        <f t="shared" si="4"/>
        <v>#VALUE!</v>
      </c>
      <c r="AQ5" s="237" t="str">
        <f t="shared" si="5"/>
        <v/>
      </c>
      <c r="AR5" s="220" t="s">
        <v>536</v>
      </c>
      <c r="AS5" s="345" t="s">
        <v>536</v>
      </c>
      <c r="AT5" s="221" t="s">
        <v>536</v>
      </c>
      <c r="AU5" s="221" t="s">
        <v>536</v>
      </c>
      <c r="AV5" s="221" t="s">
        <v>536</v>
      </c>
      <c r="AW5" s="221" t="s">
        <v>536</v>
      </c>
      <c r="AX5" s="222" t="s">
        <v>536</v>
      </c>
      <c r="BC5" s="183">
        <v>90</v>
      </c>
      <c r="BD5" s="223">
        <v>1.1000000000000001</v>
      </c>
      <c r="BF5" s="241" t="str">
        <f t="shared" si="1"/>
        <v/>
      </c>
      <c r="BL5" s="241" t="str">
        <f t="shared" si="6"/>
        <v/>
      </c>
      <c r="BM5" s="241" t="str">
        <f t="shared" si="7"/>
        <v/>
      </c>
      <c r="BN5" s="184">
        <v>45</v>
      </c>
      <c r="BO5" s="184">
        <v>31</v>
      </c>
      <c r="BQ5" s="184">
        <v>0.1</v>
      </c>
      <c r="BR5" s="224">
        <v>0.1</v>
      </c>
      <c r="BS5" s="247">
        <f t="shared" ref="BS5:BS68" si="10">IF(BQ5="","",SUM(BQ5:BR5))</f>
        <v>0.2</v>
      </c>
      <c r="BV5" s="242" t="str">
        <f t="shared" si="8"/>
        <v/>
      </c>
      <c r="BW5" s="248" t="str">
        <f t="shared" si="9"/>
        <v/>
      </c>
      <c r="CF5" s="186" t="s">
        <v>552</v>
      </c>
      <c r="CO5" s="228" t="s">
        <v>536</v>
      </c>
      <c r="CP5" s="228" t="s">
        <v>536</v>
      </c>
      <c r="CQ5" s="228" t="s">
        <v>536</v>
      </c>
      <c r="CR5" s="228" t="s">
        <v>536</v>
      </c>
    </row>
    <row r="6" spans="1:160" x14ac:dyDescent="0.3">
      <c r="A6" s="169">
        <v>4</v>
      </c>
      <c r="B6" s="169">
        <v>4</v>
      </c>
      <c r="D6" s="169" t="s">
        <v>568</v>
      </c>
      <c r="E6" s="169" t="s">
        <v>590</v>
      </c>
      <c r="F6" s="169" t="s">
        <v>591</v>
      </c>
      <c r="G6" s="169" t="str">
        <f t="shared" si="0"/>
        <v>CONDORI PACO JUAN</v>
      </c>
      <c r="H6" s="170">
        <v>82</v>
      </c>
      <c r="I6" s="169" t="s">
        <v>111</v>
      </c>
      <c r="J6" s="169" t="s">
        <v>592</v>
      </c>
      <c r="K6" s="171" t="s">
        <v>557</v>
      </c>
      <c r="L6" s="171" t="s">
        <v>156</v>
      </c>
      <c r="M6" s="169" t="s">
        <v>585</v>
      </c>
      <c r="N6" s="216" t="s">
        <v>586</v>
      </c>
      <c r="O6" s="216">
        <v>46111</v>
      </c>
      <c r="P6" s="172">
        <v>46156</v>
      </c>
      <c r="Q6" s="216"/>
      <c r="R6" s="216"/>
      <c r="U6" s="174">
        <v>62</v>
      </c>
      <c r="V6" s="217">
        <v>20.8</v>
      </c>
      <c r="Z6" s="174">
        <v>5890</v>
      </c>
      <c r="AA6" s="174">
        <v>59</v>
      </c>
      <c r="AB6" s="174">
        <v>41</v>
      </c>
      <c r="AI6" s="236">
        <f t="shared" si="2"/>
        <v>100</v>
      </c>
      <c r="AJ6" s="218">
        <v>169000</v>
      </c>
      <c r="AM6" s="275">
        <v>0</v>
      </c>
      <c r="AO6" s="178">
        <f t="shared" si="3"/>
        <v>0</v>
      </c>
      <c r="AP6" s="178">
        <f t="shared" si="4"/>
        <v>0</v>
      </c>
      <c r="AQ6" s="237" t="str">
        <f t="shared" si="5"/>
        <v/>
      </c>
      <c r="AR6" s="220" t="s">
        <v>536</v>
      </c>
      <c r="AS6" s="345" t="s">
        <v>536</v>
      </c>
      <c r="AT6" s="221" t="s">
        <v>536</v>
      </c>
      <c r="AU6" s="221" t="s">
        <v>536</v>
      </c>
      <c r="AV6" s="221">
        <v>13</v>
      </c>
      <c r="AW6" s="221">
        <v>87</v>
      </c>
      <c r="AX6" s="222">
        <v>1.0900000000000001</v>
      </c>
      <c r="BC6" s="183">
        <v>91</v>
      </c>
      <c r="BD6" s="223">
        <v>1.4</v>
      </c>
      <c r="BF6" s="241" t="str">
        <f t="shared" si="1"/>
        <v/>
      </c>
      <c r="BI6" s="183">
        <v>191</v>
      </c>
      <c r="BJ6" s="183">
        <v>162</v>
      </c>
      <c r="BK6" s="183">
        <v>49</v>
      </c>
      <c r="BL6" s="241">
        <v>49</v>
      </c>
      <c r="BM6" s="241">
        <f t="shared" si="7"/>
        <v>32.4</v>
      </c>
      <c r="BS6" s="247" t="str">
        <f t="shared" si="10"/>
        <v/>
      </c>
      <c r="BT6" s="183">
        <v>7.3</v>
      </c>
      <c r="BU6" s="183">
        <v>4.2</v>
      </c>
      <c r="BV6" s="242">
        <f t="shared" si="8"/>
        <v>3.1</v>
      </c>
      <c r="BW6" s="248">
        <f t="shared" si="9"/>
        <v>1.4</v>
      </c>
      <c r="CO6" s="228" t="s">
        <v>536</v>
      </c>
      <c r="CP6" s="228" t="s">
        <v>536</v>
      </c>
      <c r="CQ6" s="228" t="s">
        <v>536</v>
      </c>
      <c r="CR6" s="228" t="s">
        <v>536</v>
      </c>
    </row>
    <row r="7" spans="1:160" x14ac:dyDescent="0.3">
      <c r="A7" s="169">
        <v>5</v>
      </c>
      <c r="B7" s="169">
        <v>5</v>
      </c>
      <c r="D7" s="169" t="s">
        <v>593</v>
      </c>
      <c r="E7" s="169" t="s">
        <v>594</v>
      </c>
      <c r="F7" s="169" t="s">
        <v>595</v>
      </c>
      <c r="G7" s="169" t="str">
        <f t="shared" si="0"/>
        <v>COPA BENIZ JULIO RAUL</v>
      </c>
      <c r="H7" s="170">
        <v>57</v>
      </c>
      <c r="I7" s="169" t="s">
        <v>111</v>
      </c>
      <c r="J7" s="169" t="s">
        <v>596</v>
      </c>
      <c r="K7" s="171" t="s">
        <v>557</v>
      </c>
      <c r="L7" s="171" t="s">
        <v>156</v>
      </c>
      <c r="M7" s="169" t="s">
        <v>585</v>
      </c>
      <c r="N7" s="216" t="s">
        <v>586</v>
      </c>
      <c r="O7" s="216">
        <v>46108</v>
      </c>
      <c r="P7" s="172">
        <v>46156</v>
      </c>
      <c r="Q7" s="216"/>
      <c r="R7" s="216"/>
      <c r="U7" s="174">
        <v>53</v>
      </c>
      <c r="V7" s="217">
        <v>17.399999999999999</v>
      </c>
      <c r="Z7" s="174">
        <v>4270</v>
      </c>
      <c r="AA7" s="174">
        <v>55</v>
      </c>
      <c r="AB7" s="174">
        <v>41</v>
      </c>
      <c r="AC7" s="174">
        <v>3</v>
      </c>
      <c r="AD7" s="174">
        <v>1</v>
      </c>
      <c r="AI7" s="236">
        <f t="shared" si="2"/>
        <v>100</v>
      </c>
      <c r="AJ7" s="218">
        <v>198000</v>
      </c>
      <c r="AM7" s="275">
        <v>9</v>
      </c>
      <c r="AO7" s="178">
        <f t="shared" si="3"/>
        <v>0</v>
      </c>
      <c r="AP7" s="178">
        <f t="shared" si="4"/>
        <v>9</v>
      </c>
      <c r="AQ7" s="237" t="str">
        <f t="shared" si="5"/>
        <v/>
      </c>
      <c r="AR7" s="220" t="s">
        <v>536</v>
      </c>
      <c r="AS7" s="345" t="s">
        <v>536</v>
      </c>
      <c r="AT7" s="221" t="s">
        <v>536</v>
      </c>
      <c r="AU7" s="221" t="s">
        <v>536</v>
      </c>
      <c r="AV7" s="221">
        <v>13</v>
      </c>
      <c r="AW7" s="221">
        <v>87</v>
      </c>
      <c r="AX7" s="222">
        <v>1.0900000000000001</v>
      </c>
      <c r="BC7" s="183">
        <v>98</v>
      </c>
      <c r="BD7" s="223">
        <v>0.8</v>
      </c>
      <c r="BF7" s="241" t="str">
        <f t="shared" si="1"/>
        <v/>
      </c>
      <c r="BI7" s="183">
        <v>191</v>
      </c>
      <c r="BJ7" s="183">
        <v>201</v>
      </c>
      <c r="BK7" s="183">
        <v>39</v>
      </c>
      <c r="BL7" s="241">
        <v>39</v>
      </c>
      <c r="BM7" s="241">
        <f t="shared" si="7"/>
        <v>40.200000000000003</v>
      </c>
      <c r="BS7" s="247" t="str">
        <f t="shared" si="10"/>
        <v/>
      </c>
      <c r="BT7" s="183">
        <v>7.2</v>
      </c>
      <c r="BU7" s="183">
        <v>4</v>
      </c>
      <c r="BV7" s="242">
        <f t="shared" si="8"/>
        <v>3.2</v>
      </c>
      <c r="BW7" s="248">
        <f t="shared" si="9"/>
        <v>1.3</v>
      </c>
      <c r="CO7" s="228" t="s">
        <v>536</v>
      </c>
      <c r="CP7" s="228" t="s">
        <v>536</v>
      </c>
      <c r="CQ7" s="228" t="s">
        <v>536</v>
      </c>
      <c r="CR7" s="228" t="s">
        <v>536</v>
      </c>
    </row>
    <row r="8" spans="1:160" x14ac:dyDescent="0.3">
      <c r="A8" s="169">
        <v>6</v>
      </c>
      <c r="B8" s="169">
        <v>6</v>
      </c>
      <c r="C8" s="170" t="s">
        <v>545</v>
      </c>
      <c r="D8" s="169" t="s">
        <v>561</v>
      </c>
      <c r="E8" s="169" t="s">
        <v>562</v>
      </c>
      <c r="F8" s="169" t="s">
        <v>563</v>
      </c>
      <c r="G8" s="169" t="str">
        <f t="shared" si="0"/>
        <v>MAMANI CANAVIRI ROSMERY</v>
      </c>
      <c r="H8" s="170">
        <v>45</v>
      </c>
      <c r="I8" s="169" t="s">
        <v>259</v>
      </c>
      <c r="J8" s="169" t="s">
        <v>564</v>
      </c>
      <c r="K8" s="171">
        <v>50</v>
      </c>
      <c r="L8" s="171" t="s">
        <v>156</v>
      </c>
      <c r="M8" s="169" t="s">
        <v>550</v>
      </c>
      <c r="N8" s="216" t="s">
        <v>565</v>
      </c>
      <c r="O8" s="216">
        <v>46154</v>
      </c>
      <c r="P8" s="172">
        <v>46156</v>
      </c>
      <c r="Q8" s="216"/>
      <c r="R8" s="216"/>
      <c r="U8" s="174">
        <v>52</v>
      </c>
      <c r="V8" s="217">
        <v>16.5</v>
      </c>
      <c r="Z8" s="174">
        <v>7160</v>
      </c>
      <c r="AA8" s="174">
        <v>72</v>
      </c>
      <c r="AB8" s="174">
        <v>27</v>
      </c>
      <c r="AD8" s="174">
        <v>1</v>
      </c>
      <c r="AI8" s="236">
        <f t="shared" si="2"/>
        <v>100</v>
      </c>
      <c r="AJ8" s="218">
        <v>253000</v>
      </c>
      <c r="AM8" s="275" t="s">
        <v>536</v>
      </c>
      <c r="AO8" s="178">
        <f t="shared" si="3"/>
        <v>0</v>
      </c>
      <c r="AP8" s="178" t="e">
        <f t="shared" si="4"/>
        <v>#VALUE!</v>
      </c>
      <c r="AQ8" s="237" t="str">
        <f t="shared" si="5"/>
        <v/>
      </c>
      <c r="AR8" s="220" t="s">
        <v>536</v>
      </c>
      <c r="AS8" s="345" t="s">
        <v>536</v>
      </c>
      <c r="AT8" s="221" t="s">
        <v>536</v>
      </c>
      <c r="AU8" s="221" t="s">
        <v>536</v>
      </c>
      <c r="AV8" s="221" t="s">
        <v>536</v>
      </c>
      <c r="AW8" s="221" t="s">
        <v>536</v>
      </c>
      <c r="AX8" s="222" t="s">
        <v>536</v>
      </c>
      <c r="BC8" s="183">
        <v>96</v>
      </c>
      <c r="BD8" s="223">
        <v>1.2</v>
      </c>
      <c r="BF8" s="241" t="str">
        <f t="shared" si="1"/>
        <v/>
      </c>
      <c r="BG8" s="223">
        <v>6.4</v>
      </c>
      <c r="BI8" s="183">
        <v>169</v>
      </c>
      <c r="BJ8" s="183">
        <v>107</v>
      </c>
      <c r="BK8" s="183">
        <v>33</v>
      </c>
      <c r="BL8" s="241">
        <v>33</v>
      </c>
      <c r="BM8" s="241">
        <f t="shared" si="7"/>
        <v>21.4</v>
      </c>
      <c r="BN8" s="184">
        <v>24</v>
      </c>
      <c r="BO8" s="184">
        <v>17</v>
      </c>
      <c r="BQ8" s="184">
        <v>0.3</v>
      </c>
      <c r="BR8" s="184">
        <v>3.8</v>
      </c>
      <c r="BS8" s="247">
        <f t="shared" si="10"/>
        <v>4.0999999999999996</v>
      </c>
      <c r="BT8" s="183">
        <v>6.4</v>
      </c>
      <c r="BU8" s="183">
        <v>3.8</v>
      </c>
      <c r="BV8" s="242">
        <f t="shared" si="8"/>
        <v>2.6</v>
      </c>
      <c r="BW8" s="248">
        <f t="shared" si="9"/>
        <v>1.5</v>
      </c>
      <c r="BY8" s="225">
        <v>143.69999999999999</v>
      </c>
      <c r="BZ8" s="226">
        <v>3.53</v>
      </c>
      <c r="CA8" s="225">
        <v>113</v>
      </c>
      <c r="CF8" s="186" t="s">
        <v>552</v>
      </c>
      <c r="CI8" s="186" t="s">
        <v>191</v>
      </c>
      <c r="CO8" s="228" t="s">
        <v>536</v>
      </c>
      <c r="CP8" s="228" t="s">
        <v>536</v>
      </c>
      <c r="CQ8" s="228" t="s">
        <v>536</v>
      </c>
      <c r="CR8" s="228" t="s">
        <v>536</v>
      </c>
    </row>
    <row r="9" spans="1:160" x14ac:dyDescent="0.3">
      <c r="A9" s="169">
        <v>7</v>
      </c>
      <c r="B9" s="169">
        <v>7</v>
      </c>
      <c r="D9" s="169" t="s">
        <v>597</v>
      </c>
      <c r="E9" s="169" t="s">
        <v>598</v>
      </c>
      <c r="F9" s="169" t="s">
        <v>599</v>
      </c>
      <c r="G9" s="169" t="str">
        <f t="shared" si="0"/>
        <v>ACERO ESPINAL MARIA ELENA</v>
      </c>
      <c r="H9" s="170">
        <v>57</v>
      </c>
      <c r="I9" s="169" t="s">
        <v>259</v>
      </c>
      <c r="J9" s="169" t="s">
        <v>600</v>
      </c>
      <c r="K9" s="171" t="s">
        <v>557</v>
      </c>
      <c r="L9" s="171" t="s">
        <v>270</v>
      </c>
      <c r="M9" s="169" t="s">
        <v>601</v>
      </c>
      <c r="N9" s="216" t="s">
        <v>602</v>
      </c>
      <c r="O9" s="216">
        <v>46106</v>
      </c>
      <c r="P9" s="172">
        <v>46156</v>
      </c>
      <c r="Q9" s="216"/>
      <c r="R9" s="216"/>
      <c r="AI9" s="236">
        <f t="shared" si="2"/>
        <v>0</v>
      </c>
      <c r="AJ9" s="218"/>
      <c r="AM9" s="275" t="s">
        <v>536</v>
      </c>
      <c r="AO9" s="178">
        <f t="shared" si="3"/>
        <v>0</v>
      </c>
      <c r="AP9" s="178" t="e">
        <f t="shared" si="4"/>
        <v>#VALUE!</v>
      </c>
      <c r="AQ9" s="237" t="str">
        <f t="shared" si="5"/>
        <v/>
      </c>
      <c r="AR9" s="220" t="s">
        <v>536</v>
      </c>
      <c r="AS9" s="345" t="s">
        <v>536</v>
      </c>
      <c r="AT9" s="221" t="s">
        <v>536</v>
      </c>
      <c r="AU9" s="221" t="s">
        <v>536</v>
      </c>
      <c r="AV9" s="221" t="s">
        <v>536</v>
      </c>
      <c r="AW9" s="221" t="s">
        <v>536</v>
      </c>
      <c r="AX9" s="222" t="s">
        <v>536</v>
      </c>
      <c r="BC9" s="183">
        <v>96</v>
      </c>
      <c r="BD9" s="223">
        <v>1.1000000000000001</v>
      </c>
      <c r="BF9" s="241" t="str">
        <f t="shared" si="1"/>
        <v/>
      </c>
      <c r="BG9" s="223">
        <v>3.2</v>
      </c>
      <c r="BI9" s="183">
        <v>286</v>
      </c>
      <c r="BJ9" s="183">
        <v>275</v>
      </c>
      <c r="BK9" s="183">
        <v>31</v>
      </c>
      <c r="BL9" s="241">
        <v>31</v>
      </c>
      <c r="BM9" s="241">
        <f t="shared" si="7"/>
        <v>55</v>
      </c>
      <c r="BS9" s="247" t="str">
        <f t="shared" si="10"/>
        <v/>
      </c>
      <c r="BV9" s="242" t="str">
        <f t="shared" si="8"/>
        <v/>
      </c>
      <c r="BW9" s="248" t="str">
        <f t="shared" si="9"/>
        <v/>
      </c>
      <c r="CO9" s="228" t="s">
        <v>536</v>
      </c>
      <c r="CP9" s="228" t="s">
        <v>536</v>
      </c>
      <c r="CQ9" s="228" t="s">
        <v>536</v>
      </c>
      <c r="CR9" s="228" t="s">
        <v>536</v>
      </c>
    </row>
    <row r="10" spans="1:160" x14ac:dyDescent="0.3">
      <c r="A10" s="169">
        <v>8</v>
      </c>
      <c r="B10" s="169">
        <v>8</v>
      </c>
      <c r="D10" s="169" t="s">
        <v>603</v>
      </c>
      <c r="E10" s="169" t="s">
        <v>604</v>
      </c>
      <c r="F10" s="169" t="s">
        <v>605</v>
      </c>
      <c r="G10" s="169" t="str">
        <f t="shared" si="0"/>
        <v>CHOQUE VILLCA AMALIA</v>
      </c>
      <c r="H10" s="170">
        <v>67</v>
      </c>
      <c r="I10" s="169" t="s">
        <v>259</v>
      </c>
      <c r="J10" s="169" t="s">
        <v>606</v>
      </c>
      <c r="K10" s="171">
        <v>50</v>
      </c>
      <c r="L10" s="171" t="s">
        <v>270</v>
      </c>
      <c r="M10" s="169" t="s">
        <v>607</v>
      </c>
      <c r="N10" s="216" t="s">
        <v>608</v>
      </c>
      <c r="O10" s="216">
        <v>46150</v>
      </c>
      <c r="P10" s="172">
        <v>46156</v>
      </c>
      <c r="Q10" s="216"/>
      <c r="R10" s="216"/>
      <c r="U10" s="174">
        <v>58</v>
      </c>
      <c r="V10" s="217">
        <v>19</v>
      </c>
      <c r="Z10" s="174">
        <v>9290</v>
      </c>
      <c r="AA10" s="174">
        <v>70</v>
      </c>
      <c r="AB10" s="174">
        <v>30</v>
      </c>
      <c r="AI10" s="236">
        <f t="shared" si="2"/>
        <v>100</v>
      </c>
      <c r="AJ10" s="218">
        <v>170000</v>
      </c>
      <c r="AM10" s="275">
        <v>5</v>
      </c>
      <c r="AO10" s="178">
        <f t="shared" si="3"/>
        <v>0</v>
      </c>
      <c r="AP10" s="178">
        <f t="shared" si="4"/>
        <v>5</v>
      </c>
      <c r="AQ10" s="237" t="str">
        <f t="shared" si="5"/>
        <v/>
      </c>
      <c r="AR10" s="220" t="s">
        <v>536</v>
      </c>
      <c r="AS10" s="345" t="s">
        <v>536</v>
      </c>
      <c r="AT10" s="221" t="s">
        <v>536</v>
      </c>
      <c r="AU10" s="221" t="s">
        <v>536</v>
      </c>
      <c r="AV10" s="221" t="s">
        <v>536</v>
      </c>
      <c r="AW10" s="221" t="s">
        <v>536</v>
      </c>
      <c r="AX10" s="222" t="s">
        <v>536</v>
      </c>
      <c r="BC10" s="183">
        <v>117</v>
      </c>
      <c r="BD10" s="223">
        <v>1</v>
      </c>
      <c r="BF10" s="241" t="str">
        <f t="shared" si="1"/>
        <v/>
      </c>
      <c r="BG10" s="223">
        <v>3</v>
      </c>
      <c r="BI10" s="183">
        <v>175</v>
      </c>
      <c r="BJ10" s="183">
        <v>113</v>
      </c>
      <c r="BK10" s="183">
        <v>48</v>
      </c>
      <c r="BL10" s="241">
        <v>48</v>
      </c>
      <c r="BM10" s="241">
        <f t="shared" si="7"/>
        <v>22.6</v>
      </c>
      <c r="BS10" s="247" t="str">
        <f t="shared" si="10"/>
        <v/>
      </c>
      <c r="BV10" s="242" t="str">
        <f t="shared" si="8"/>
        <v/>
      </c>
      <c r="BW10" s="248" t="str">
        <f t="shared" si="9"/>
        <v/>
      </c>
      <c r="CF10" s="186" t="s">
        <v>552</v>
      </c>
      <c r="CG10" s="186" t="s">
        <v>579</v>
      </c>
      <c r="CH10" s="186" t="s">
        <v>630</v>
      </c>
      <c r="CO10" s="228" t="s">
        <v>536</v>
      </c>
      <c r="CP10" s="228" t="s">
        <v>536</v>
      </c>
      <c r="CQ10" s="228" t="s">
        <v>536</v>
      </c>
      <c r="CR10" s="228" t="s">
        <v>536</v>
      </c>
    </row>
    <row r="11" spans="1:160" x14ac:dyDescent="0.3">
      <c r="A11" s="169">
        <v>9</v>
      </c>
      <c r="B11" s="169">
        <v>9</v>
      </c>
      <c r="D11" s="169" t="s">
        <v>609</v>
      </c>
      <c r="E11" s="169" t="s">
        <v>603</v>
      </c>
      <c r="F11" s="169" t="s">
        <v>610</v>
      </c>
      <c r="G11" s="169" t="str">
        <f t="shared" si="0"/>
        <v>PAREDES CHOQUE POLICARPIO</v>
      </c>
      <c r="H11" s="170">
        <v>59</v>
      </c>
      <c r="I11" s="169" t="s">
        <v>111</v>
      </c>
      <c r="J11" s="169" t="s">
        <v>611</v>
      </c>
      <c r="K11" s="171" t="s">
        <v>557</v>
      </c>
      <c r="L11" s="171" t="s">
        <v>156</v>
      </c>
      <c r="M11" s="169" t="s">
        <v>585</v>
      </c>
      <c r="N11" s="216" t="s">
        <v>586</v>
      </c>
      <c r="O11" s="216">
        <v>46104</v>
      </c>
      <c r="P11" s="172">
        <v>46156</v>
      </c>
      <c r="Q11" s="216"/>
      <c r="R11" s="216"/>
      <c r="U11" s="174">
        <v>52</v>
      </c>
      <c r="V11" s="217">
        <v>17.2</v>
      </c>
      <c r="Z11" s="174">
        <v>4870</v>
      </c>
      <c r="AA11" s="174">
        <v>59</v>
      </c>
      <c r="AB11" s="174">
        <v>39</v>
      </c>
      <c r="AD11" s="174">
        <v>2</v>
      </c>
      <c r="AI11" s="236">
        <f t="shared" si="2"/>
        <v>100</v>
      </c>
      <c r="AJ11" s="218">
        <v>211000</v>
      </c>
      <c r="AM11" s="275">
        <v>4</v>
      </c>
      <c r="AO11" s="178">
        <f t="shared" si="3"/>
        <v>0</v>
      </c>
      <c r="AP11" s="178">
        <f t="shared" si="4"/>
        <v>4</v>
      </c>
      <c r="AQ11" s="237" t="str">
        <f t="shared" si="5"/>
        <v/>
      </c>
      <c r="AR11" s="220" t="s">
        <v>536</v>
      </c>
      <c r="AS11" s="345" t="s">
        <v>536</v>
      </c>
      <c r="AT11" s="221" t="s">
        <v>536</v>
      </c>
      <c r="AU11" s="221" t="s">
        <v>536</v>
      </c>
      <c r="AV11" s="221">
        <v>12</v>
      </c>
      <c r="AW11" s="221">
        <v>100</v>
      </c>
      <c r="AX11" s="222">
        <v>1</v>
      </c>
      <c r="BC11" s="183">
        <v>84</v>
      </c>
      <c r="BD11" s="223">
        <v>1.3</v>
      </c>
      <c r="BF11" s="241" t="str">
        <f t="shared" si="1"/>
        <v/>
      </c>
      <c r="BI11" s="183">
        <v>180</v>
      </c>
      <c r="BJ11" s="183">
        <v>136</v>
      </c>
      <c r="BK11" s="183">
        <v>65</v>
      </c>
      <c r="BL11" s="241">
        <v>65</v>
      </c>
      <c r="BM11" s="241">
        <f t="shared" si="7"/>
        <v>27.2</v>
      </c>
      <c r="BS11" s="247" t="str">
        <f t="shared" si="10"/>
        <v/>
      </c>
      <c r="BT11" s="183">
        <v>6.8</v>
      </c>
      <c r="BU11" s="183">
        <v>3.9</v>
      </c>
      <c r="BV11" s="242">
        <f t="shared" si="8"/>
        <v>2.9</v>
      </c>
      <c r="BW11" s="248">
        <f t="shared" si="9"/>
        <v>1.3</v>
      </c>
      <c r="CO11" s="228" t="s">
        <v>536</v>
      </c>
      <c r="CP11" s="228" t="s">
        <v>536</v>
      </c>
      <c r="CQ11" s="228" t="s">
        <v>536</v>
      </c>
      <c r="CR11" s="228" t="s">
        <v>536</v>
      </c>
    </row>
    <row r="12" spans="1:160" x14ac:dyDescent="0.3">
      <c r="A12" s="169">
        <v>10</v>
      </c>
      <c r="B12" s="169">
        <v>10</v>
      </c>
      <c r="D12" s="169" t="s">
        <v>612</v>
      </c>
      <c r="E12" s="169" t="s">
        <v>613</v>
      </c>
      <c r="F12" s="169" t="s">
        <v>614</v>
      </c>
      <c r="G12" s="169" t="str">
        <f t="shared" si="0"/>
        <v>CONTRERAS ALI OVIDIO</v>
      </c>
      <c r="H12" s="170">
        <v>41</v>
      </c>
      <c r="I12" s="169" t="s">
        <v>111</v>
      </c>
      <c r="J12" s="169" t="s">
        <v>615</v>
      </c>
      <c r="K12" s="171" t="s">
        <v>557</v>
      </c>
      <c r="L12" s="171" t="s">
        <v>156</v>
      </c>
      <c r="M12" s="169" t="s">
        <v>616</v>
      </c>
      <c r="N12" s="216" t="s">
        <v>617</v>
      </c>
      <c r="O12" s="216">
        <v>46155</v>
      </c>
      <c r="P12" s="172">
        <v>46156</v>
      </c>
      <c r="Q12" s="216"/>
      <c r="R12" s="216"/>
      <c r="U12" s="174">
        <v>64</v>
      </c>
      <c r="V12" s="217">
        <v>21</v>
      </c>
      <c r="AI12" s="236">
        <f t="shared" si="2"/>
        <v>0</v>
      </c>
      <c r="AJ12" s="218"/>
      <c r="AM12" s="275" t="s">
        <v>536</v>
      </c>
      <c r="AO12" s="178">
        <f t="shared" si="3"/>
        <v>0</v>
      </c>
      <c r="AP12" s="178" t="e">
        <f t="shared" si="4"/>
        <v>#VALUE!</v>
      </c>
      <c r="AQ12" s="237" t="str">
        <f t="shared" si="5"/>
        <v/>
      </c>
      <c r="AR12" s="220" t="s">
        <v>536</v>
      </c>
      <c r="AS12" s="345" t="s">
        <v>536</v>
      </c>
      <c r="AT12" s="221" t="s">
        <v>536</v>
      </c>
      <c r="AU12" s="221" t="s">
        <v>536</v>
      </c>
      <c r="AV12" s="221" t="s">
        <v>536</v>
      </c>
      <c r="AW12" s="221" t="s">
        <v>536</v>
      </c>
      <c r="AX12" s="222" t="s">
        <v>536</v>
      </c>
      <c r="BF12" s="241" t="str">
        <f t="shared" si="1"/>
        <v/>
      </c>
      <c r="BH12" s="223"/>
      <c r="BI12" s="183">
        <v>207</v>
      </c>
      <c r="BJ12" s="183">
        <v>158</v>
      </c>
      <c r="BL12" s="241" t="str">
        <f t="shared" si="6"/>
        <v/>
      </c>
      <c r="BM12" s="241" t="str">
        <f t="shared" si="7"/>
        <v/>
      </c>
      <c r="BS12" s="247" t="str">
        <f t="shared" si="10"/>
        <v/>
      </c>
      <c r="BV12" s="242" t="str">
        <f t="shared" si="8"/>
        <v/>
      </c>
      <c r="BW12" s="248" t="str">
        <f t="shared" si="9"/>
        <v/>
      </c>
      <c r="CO12" s="228" t="s">
        <v>536</v>
      </c>
      <c r="CP12" s="228" t="s">
        <v>536</v>
      </c>
      <c r="CQ12" s="228" t="s">
        <v>536</v>
      </c>
      <c r="CR12" s="228" t="s">
        <v>536</v>
      </c>
    </row>
    <row r="13" spans="1:160" x14ac:dyDescent="0.3">
      <c r="A13" s="169">
        <v>11</v>
      </c>
      <c r="B13" s="169">
        <v>11</v>
      </c>
      <c r="D13" s="169" t="s">
        <v>618</v>
      </c>
      <c r="E13" s="169" t="s">
        <v>619</v>
      </c>
      <c r="F13" s="169" t="s">
        <v>620</v>
      </c>
      <c r="G13" s="169" t="str">
        <f t="shared" si="0"/>
        <v>CHURA HUACOTO ANGELINO</v>
      </c>
      <c r="H13" s="170">
        <v>68</v>
      </c>
      <c r="I13" s="169" t="s">
        <v>111</v>
      </c>
      <c r="J13" s="169" t="s">
        <v>621</v>
      </c>
      <c r="K13" s="171" t="s">
        <v>557</v>
      </c>
      <c r="L13" s="171" t="s">
        <v>156</v>
      </c>
      <c r="M13" s="169" t="s">
        <v>585</v>
      </c>
      <c r="N13" s="216" t="s">
        <v>586</v>
      </c>
      <c r="O13" s="216">
        <v>46105</v>
      </c>
      <c r="P13" s="172">
        <v>46156</v>
      </c>
      <c r="Q13" s="216"/>
      <c r="R13" s="216"/>
      <c r="U13" s="174">
        <v>54</v>
      </c>
      <c r="V13" s="217">
        <v>18.100000000000001</v>
      </c>
      <c r="Z13" s="174">
        <v>4660</v>
      </c>
      <c r="AA13" s="174">
        <v>35</v>
      </c>
      <c r="AB13" s="174">
        <v>58</v>
      </c>
      <c r="AC13" s="174">
        <v>1</v>
      </c>
      <c r="AD13" s="174">
        <v>6</v>
      </c>
      <c r="AI13" s="236">
        <f t="shared" si="2"/>
        <v>100</v>
      </c>
      <c r="AJ13" s="218">
        <v>103000</v>
      </c>
      <c r="AM13" s="275">
        <v>41</v>
      </c>
      <c r="AO13" s="178">
        <f t="shared" si="3"/>
        <v>0</v>
      </c>
      <c r="AP13" s="178">
        <f t="shared" si="4"/>
        <v>41</v>
      </c>
      <c r="AQ13" s="237" t="str">
        <f t="shared" si="5"/>
        <v/>
      </c>
      <c r="AR13" s="220" t="s">
        <v>536</v>
      </c>
      <c r="AS13" s="345" t="s">
        <v>536</v>
      </c>
      <c r="AT13" s="221" t="s">
        <v>536</v>
      </c>
      <c r="AU13" s="221" t="s">
        <v>536</v>
      </c>
      <c r="AV13" s="221">
        <v>14</v>
      </c>
      <c r="AW13" s="221">
        <v>77</v>
      </c>
      <c r="AX13" s="222">
        <v>1.18</v>
      </c>
      <c r="BC13" s="183">
        <v>81</v>
      </c>
      <c r="BD13" s="223">
        <v>1.2</v>
      </c>
      <c r="BF13" s="241" t="str">
        <f t="shared" si="1"/>
        <v/>
      </c>
      <c r="BI13" s="183">
        <v>149</v>
      </c>
      <c r="BJ13" s="183">
        <v>111</v>
      </c>
      <c r="BL13" s="241" t="str">
        <f t="shared" si="6"/>
        <v/>
      </c>
      <c r="BM13" s="241" t="str">
        <f t="shared" si="7"/>
        <v/>
      </c>
      <c r="BQ13" s="184">
        <v>0.3</v>
      </c>
      <c r="BR13" s="184">
        <v>1.7</v>
      </c>
      <c r="BS13" s="247">
        <f t="shared" si="10"/>
        <v>2</v>
      </c>
      <c r="BU13" s="183">
        <v>3.7</v>
      </c>
      <c r="BV13" s="242" t="str">
        <f t="shared" si="8"/>
        <v/>
      </c>
      <c r="BW13" s="248" t="str">
        <f t="shared" si="9"/>
        <v/>
      </c>
      <c r="CE13" s="227" t="s">
        <v>560</v>
      </c>
      <c r="CH13" s="343"/>
      <c r="CO13" s="228" t="s">
        <v>536</v>
      </c>
      <c r="CP13" s="228" t="s">
        <v>536</v>
      </c>
      <c r="CQ13" s="228" t="s">
        <v>536</v>
      </c>
      <c r="CR13" s="228" t="s">
        <v>536</v>
      </c>
    </row>
    <row r="14" spans="1:160" s="427" customFormat="1" x14ac:dyDescent="0.3">
      <c r="A14" s="387">
        <v>12</v>
      </c>
      <c r="B14" s="387">
        <v>12</v>
      </c>
      <c r="C14" s="388"/>
      <c r="D14" s="387" t="s">
        <v>622</v>
      </c>
      <c r="E14" s="387" t="s">
        <v>574</v>
      </c>
      <c r="F14" s="387" t="s">
        <v>623</v>
      </c>
      <c r="G14" s="387" t="str">
        <f t="shared" si="0"/>
        <v>TORREZ VARGAS DELIA</v>
      </c>
      <c r="H14" s="388">
        <v>35</v>
      </c>
      <c r="I14" s="387" t="s">
        <v>259</v>
      </c>
      <c r="J14" s="387" t="s">
        <v>624</v>
      </c>
      <c r="K14" s="389">
        <v>50</v>
      </c>
      <c r="L14" s="389" t="s">
        <v>156</v>
      </c>
      <c r="M14" s="387" t="s">
        <v>572</v>
      </c>
      <c r="N14" s="390" t="s">
        <v>625</v>
      </c>
      <c r="O14" s="390">
        <v>46141</v>
      </c>
      <c r="P14" s="391">
        <v>46156</v>
      </c>
      <c r="Q14" s="390" t="s">
        <v>507</v>
      </c>
      <c r="R14" s="390"/>
      <c r="S14" s="387"/>
      <c r="T14" s="392"/>
      <c r="U14" s="393">
        <v>46</v>
      </c>
      <c r="V14" s="394">
        <v>14.7</v>
      </c>
      <c r="W14" s="393"/>
      <c r="X14" s="393"/>
      <c r="Y14" s="393"/>
      <c r="Z14" s="393">
        <v>8430</v>
      </c>
      <c r="AA14" s="393">
        <v>78</v>
      </c>
      <c r="AB14" s="393">
        <v>19</v>
      </c>
      <c r="AC14" s="393">
        <v>1</v>
      </c>
      <c r="AD14" s="393">
        <v>2</v>
      </c>
      <c r="AE14" s="393"/>
      <c r="AF14" s="393"/>
      <c r="AG14" s="393"/>
      <c r="AH14" s="393"/>
      <c r="AI14" s="395">
        <f t="shared" si="2"/>
        <v>100</v>
      </c>
      <c r="AJ14" s="396">
        <v>215000</v>
      </c>
      <c r="AK14" s="393"/>
      <c r="AL14" s="397"/>
      <c r="AM14" s="398">
        <v>63</v>
      </c>
      <c r="AN14" s="398"/>
      <c r="AO14" s="399">
        <f t="shared" si="3"/>
        <v>0</v>
      </c>
      <c r="AP14" s="399">
        <f t="shared" si="4"/>
        <v>63</v>
      </c>
      <c r="AQ14" s="400" t="str">
        <f t="shared" si="5"/>
        <v/>
      </c>
      <c r="AR14" s="401" t="s">
        <v>536</v>
      </c>
      <c r="AS14" s="402" t="s">
        <v>536</v>
      </c>
      <c r="AT14" s="403" t="s">
        <v>536</v>
      </c>
      <c r="AU14" s="403" t="s">
        <v>536</v>
      </c>
      <c r="AV14" s="403">
        <v>12</v>
      </c>
      <c r="AW14" s="403">
        <v>100</v>
      </c>
      <c r="AX14" s="404">
        <v>1</v>
      </c>
      <c r="AY14" s="405"/>
      <c r="AZ14" s="393"/>
      <c r="BA14" s="393"/>
      <c r="BB14" s="393"/>
      <c r="BC14" s="406">
        <v>83</v>
      </c>
      <c r="BD14" s="407"/>
      <c r="BE14" s="406"/>
      <c r="BF14" s="408" t="str">
        <f t="shared" si="1"/>
        <v/>
      </c>
      <c r="BG14" s="407"/>
      <c r="BH14" s="406"/>
      <c r="BI14" s="406"/>
      <c r="BJ14" s="406"/>
      <c r="BK14" s="406"/>
      <c r="BL14" s="408" t="str">
        <f t="shared" ref="BL14" si="11">IF(BK14="","",IF(AND(BJ14&gt;400,BK14&gt;1),"No Procede",IF(BK14&lt;1,"",BI14-BK14-(BJ14/5))))</f>
        <v/>
      </c>
      <c r="BM14" s="408" t="str">
        <f t="shared" ref="BM14" si="12">IF(BK14="","",IF(AND(BJ14&gt;400,BK14&gt;1),"NO PROCEDE",IF(BK14="","",BJ14/5)))</f>
        <v/>
      </c>
      <c r="BN14" s="409">
        <v>18</v>
      </c>
      <c r="BO14" s="409">
        <v>13</v>
      </c>
      <c r="BP14" s="409"/>
      <c r="BQ14" s="409">
        <v>0.3</v>
      </c>
      <c r="BR14" s="409">
        <v>0.6</v>
      </c>
      <c r="BS14" s="410">
        <f t="shared" si="10"/>
        <v>0.89999999999999991</v>
      </c>
      <c r="BT14" s="406">
        <v>6.9</v>
      </c>
      <c r="BU14" s="406">
        <v>6.2</v>
      </c>
      <c r="BV14" s="411">
        <f t="shared" ref="BV14" si="13">IF(OR(BT14="",BU14=""),"",ROUND(BT14-BU14,1))</f>
        <v>0.7</v>
      </c>
      <c r="BW14" s="412">
        <f t="shared" ref="BW14" si="14">IF(OR(BT14="",BU14=""),"",ROUND(BU14/BV14,1))</f>
        <v>8.9</v>
      </c>
      <c r="BX14" s="406"/>
      <c r="BY14" s="413"/>
      <c r="BZ14" s="414"/>
      <c r="CA14" s="413"/>
      <c r="CB14" s="387"/>
      <c r="CC14" s="387"/>
      <c r="CD14" s="387"/>
      <c r="CE14" s="415"/>
      <c r="CF14" s="416">
        <v>1.6</v>
      </c>
      <c r="CG14" s="416"/>
      <c r="CH14" s="416"/>
      <c r="CI14" s="416"/>
      <c r="CJ14" s="416"/>
      <c r="CK14" s="416"/>
      <c r="CL14" s="416"/>
      <c r="CM14" s="416"/>
      <c r="CN14" s="416"/>
      <c r="CO14" s="417" t="s">
        <v>536</v>
      </c>
      <c r="CP14" s="417" t="s">
        <v>536</v>
      </c>
      <c r="CQ14" s="417" t="s">
        <v>536</v>
      </c>
      <c r="CR14" s="417" t="s">
        <v>536</v>
      </c>
      <c r="CS14" s="394"/>
      <c r="CT14" s="394"/>
      <c r="CU14" s="394"/>
      <c r="CV14" s="418">
        <v>80</v>
      </c>
      <c r="CW14" s="418" t="s">
        <v>210</v>
      </c>
      <c r="CX14" s="418" t="s">
        <v>222</v>
      </c>
      <c r="CY14" s="418" t="s">
        <v>219</v>
      </c>
      <c r="CZ14" s="418" t="s">
        <v>227</v>
      </c>
      <c r="DA14" s="418"/>
      <c r="DB14" s="418"/>
      <c r="DC14" s="419">
        <v>1020</v>
      </c>
      <c r="DD14" s="420">
        <v>6.5</v>
      </c>
      <c r="DE14" s="421" t="s">
        <v>233</v>
      </c>
      <c r="DF14" s="418" t="s">
        <v>233</v>
      </c>
      <c r="DG14" s="418" t="s">
        <v>233</v>
      </c>
      <c r="DH14" s="418" t="s">
        <v>233</v>
      </c>
      <c r="DI14" s="418" t="s">
        <v>233</v>
      </c>
      <c r="DJ14" s="418" t="s">
        <v>244</v>
      </c>
      <c r="DK14" s="422" t="s">
        <v>246</v>
      </c>
      <c r="DL14" s="421"/>
      <c r="DM14" s="418" t="s">
        <v>581</v>
      </c>
      <c r="DN14" s="418"/>
      <c r="DO14" s="418" t="s">
        <v>580</v>
      </c>
      <c r="DP14" s="418" t="s">
        <v>493</v>
      </c>
      <c r="DQ14" s="418" t="s">
        <v>566</v>
      </c>
      <c r="DR14" s="418"/>
      <c r="DS14" s="418"/>
      <c r="DT14" s="418"/>
      <c r="DU14" s="418"/>
      <c r="DV14" s="418"/>
      <c r="DW14" s="418"/>
      <c r="DX14" s="418"/>
      <c r="DY14" s="418"/>
      <c r="DZ14" s="418"/>
      <c r="EA14" s="409"/>
      <c r="EB14" s="409"/>
      <c r="EC14" s="409"/>
      <c r="ED14" s="423"/>
      <c r="EE14" s="423"/>
      <c r="EF14" s="423"/>
      <c r="EG14" s="423"/>
      <c r="EH14" s="423"/>
      <c r="EI14" s="423"/>
      <c r="EJ14" s="423"/>
      <c r="EK14" s="423"/>
      <c r="EL14" s="423"/>
      <c r="EM14" s="423"/>
      <c r="EN14" s="423"/>
      <c r="EO14" s="423"/>
      <c r="EP14" s="423"/>
      <c r="EQ14" s="423"/>
      <c r="ER14" s="423"/>
      <c r="ES14" s="423"/>
      <c r="ET14" s="423"/>
      <c r="EU14" s="423"/>
      <c r="EV14" s="423"/>
      <c r="EW14" s="423"/>
      <c r="EX14" s="423"/>
      <c r="EY14" s="424"/>
      <c r="EZ14" s="425"/>
      <c r="FA14" s="424"/>
      <c r="FB14" s="425"/>
      <c r="FC14" s="426"/>
      <c r="FD14" s="425"/>
    </row>
    <row r="15" spans="1:160" x14ac:dyDescent="0.3">
      <c r="A15" s="169">
        <v>13</v>
      </c>
      <c r="B15" s="169">
        <v>13</v>
      </c>
      <c r="C15" s="170" t="s">
        <v>545</v>
      </c>
      <c r="D15" s="169" t="s">
        <v>553</v>
      </c>
      <c r="E15" s="169" t="s">
        <v>554</v>
      </c>
      <c r="F15" s="169" t="s">
        <v>555</v>
      </c>
      <c r="G15" s="169" t="str">
        <f t="shared" si="0"/>
        <v>ROJAS  ALANOCA RAQUEL</v>
      </c>
      <c r="H15" s="170">
        <v>45</v>
      </c>
      <c r="I15" s="169" t="s">
        <v>259</v>
      </c>
      <c r="J15" s="169" t="s">
        <v>556</v>
      </c>
      <c r="K15" s="171" t="s">
        <v>557</v>
      </c>
      <c r="L15" s="171" t="s">
        <v>156</v>
      </c>
      <c r="M15" s="169" t="s">
        <v>558</v>
      </c>
      <c r="N15" s="216" t="s">
        <v>559</v>
      </c>
      <c r="O15" s="216">
        <v>46108</v>
      </c>
      <c r="P15" s="172">
        <v>46156</v>
      </c>
      <c r="Q15" s="216"/>
      <c r="R15" s="216"/>
      <c r="U15" s="174">
        <v>60</v>
      </c>
      <c r="V15" s="217">
        <v>19.8</v>
      </c>
      <c r="Z15" s="174">
        <v>7100</v>
      </c>
      <c r="AA15" s="174">
        <v>70</v>
      </c>
      <c r="AB15" s="174">
        <v>30</v>
      </c>
      <c r="AI15" s="236">
        <f t="shared" si="2"/>
        <v>100</v>
      </c>
      <c r="AJ15" s="218">
        <v>259000</v>
      </c>
      <c r="AM15" s="275" t="s">
        <v>536</v>
      </c>
      <c r="AO15" s="178">
        <f t="shared" si="3"/>
        <v>0</v>
      </c>
      <c r="AP15" s="178" t="e">
        <f t="shared" si="4"/>
        <v>#VALUE!</v>
      </c>
      <c r="AQ15" s="237" t="str">
        <f t="shared" si="5"/>
        <v/>
      </c>
      <c r="AR15" s="220" t="s">
        <v>536</v>
      </c>
      <c r="AS15" s="345" t="s">
        <v>536</v>
      </c>
      <c r="AT15" s="221" t="s">
        <v>536</v>
      </c>
      <c r="AU15" s="221" t="s">
        <v>536</v>
      </c>
      <c r="AV15" s="221" t="s">
        <v>536</v>
      </c>
      <c r="AW15" s="221" t="s">
        <v>536</v>
      </c>
      <c r="AX15" s="222" t="s">
        <v>536</v>
      </c>
      <c r="BC15" s="183">
        <v>88</v>
      </c>
      <c r="BD15" s="223">
        <v>0.9</v>
      </c>
      <c r="BF15" s="241" t="str">
        <f t="shared" si="1"/>
        <v/>
      </c>
      <c r="BL15" s="241" t="str">
        <f t="shared" si="6"/>
        <v/>
      </c>
      <c r="BM15" s="241" t="str">
        <f t="shared" si="7"/>
        <v/>
      </c>
      <c r="BN15" s="184">
        <v>35</v>
      </c>
      <c r="BO15" s="184">
        <v>35</v>
      </c>
      <c r="BS15" s="247" t="str">
        <f t="shared" si="10"/>
        <v/>
      </c>
      <c r="BU15" s="183">
        <v>3.4</v>
      </c>
      <c r="BV15" s="242" t="str">
        <f t="shared" si="8"/>
        <v/>
      </c>
      <c r="BW15" s="248" t="str">
        <f t="shared" si="9"/>
        <v/>
      </c>
      <c r="CE15" s="227" t="s">
        <v>560</v>
      </c>
      <c r="CF15" s="186">
        <v>1.6</v>
      </c>
      <c r="CO15" s="228" t="s">
        <v>536</v>
      </c>
      <c r="CP15" s="228" t="s">
        <v>536</v>
      </c>
      <c r="CQ15" s="228" t="s">
        <v>536</v>
      </c>
      <c r="CR15" s="228" t="s">
        <v>536</v>
      </c>
    </row>
    <row r="16" spans="1:160" x14ac:dyDescent="0.3">
      <c r="A16" s="169">
        <v>14</v>
      </c>
      <c r="B16" s="169">
        <v>14</v>
      </c>
      <c r="C16" s="170" t="s">
        <v>545</v>
      </c>
      <c r="D16" s="169" t="s">
        <v>574</v>
      </c>
      <c r="E16" s="169" t="s">
        <v>575</v>
      </c>
      <c r="F16" s="169" t="s">
        <v>576</v>
      </c>
      <c r="G16" s="169" t="str">
        <f t="shared" si="0"/>
        <v>VARGAS ARUQUIPA MILLER</v>
      </c>
      <c r="H16" s="170">
        <v>43</v>
      </c>
      <c r="I16" s="169" t="s">
        <v>111</v>
      </c>
      <c r="J16" s="169" t="s">
        <v>577</v>
      </c>
      <c r="K16" s="171" t="s">
        <v>557</v>
      </c>
      <c r="L16" s="171" t="s">
        <v>105</v>
      </c>
      <c r="M16" s="169" t="s">
        <v>272</v>
      </c>
      <c r="N16" s="216" t="s">
        <v>578</v>
      </c>
      <c r="O16" s="216">
        <v>46142</v>
      </c>
      <c r="P16" s="172">
        <v>46156</v>
      </c>
      <c r="Q16" s="216"/>
      <c r="R16" s="216"/>
      <c r="U16" s="174">
        <v>57</v>
      </c>
      <c r="V16" s="217">
        <v>18.8</v>
      </c>
      <c r="Z16" s="174">
        <v>5080</v>
      </c>
      <c r="AA16" s="174">
        <v>61</v>
      </c>
      <c r="AB16" s="174">
        <v>39</v>
      </c>
      <c r="AI16" s="236">
        <f t="shared" si="2"/>
        <v>100</v>
      </c>
      <c r="AJ16" s="218"/>
      <c r="AM16" s="275" t="s">
        <v>536</v>
      </c>
      <c r="AO16" s="178">
        <f t="shared" si="3"/>
        <v>0</v>
      </c>
      <c r="AP16" s="178" t="e">
        <f t="shared" si="4"/>
        <v>#VALUE!</v>
      </c>
      <c r="AQ16" s="237" t="str">
        <f t="shared" si="5"/>
        <v/>
      </c>
      <c r="AR16" s="220" t="s">
        <v>536</v>
      </c>
      <c r="AS16" s="345" t="s">
        <v>536</v>
      </c>
      <c r="AT16" s="221" t="s">
        <v>536</v>
      </c>
      <c r="AU16" s="221" t="s">
        <v>536</v>
      </c>
      <c r="AV16" s="221" t="s">
        <v>536</v>
      </c>
      <c r="AW16" s="221" t="s">
        <v>536</v>
      </c>
      <c r="AX16" s="222" t="s">
        <v>536</v>
      </c>
      <c r="BC16" s="183">
        <v>86</v>
      </c>
      <c r="BD16" s="223">
        <v>1.2</v>
      </c>
      <c r="BF16" s="241" t="str">
        <f t="shared" si="1"/>
        <v/>
      </c>
      <c r="BI16" s="183">
        <v>186</v>
      </c>
      <c r="BJ16" s="183">
        <v>205</v>
      </c>
      <c r="BL16" s="241" t="str">
        <f t="shared" si="6"/>
        <v/>
      </c>
      <c r="BM16" s="241" t="str">
        <f t="shared" si="7"/>
        <v/>
      </c>
      <c r="BN16" s="184">
        <v>36</v>
      </c>
      <c r="BO16" s="184">
        <v>35</v>
      </c>
      <c r="BS16" s="247" t="str">
        <f t="shared" si="10"/>
        <v/>
      </c>
      <c r="BV16" s="242" t="str">
        <f t="shared" si="8"/>
        <v/>
      </c>
      <c r="BW16" s="248" t="str">
        <f t="shared" si="9"/>
        <v/>
      </c>
      <c r="CF16" s="186" t="s">
        <v>552</v>
      </c>
      <c r="CG16" s="186" t="s">
        <v>579</v>
      </c>
      <c r="CO16" s="228" t="s">
        <v>536</v>
      </c>
      <c r="CP16" s="228" t="s">
        <v>536</v>
      </c>
      <c r="CQ16" s="228" t="s">
        <v>536</v>
      </c>
      <c r="CR16" s="228" t="s">
        <v>536</v>
      </c>
      <c r="CV16" s="187">
        <v>70</v>
      </c>
      <c r="CW16" s="187" t="s">
        <v>210</v>
      </c>
      <c r="CX16" s="187" t="s">
        <v>222</v>
      </c>
      <c r="CY16" s="187" t="s">
        <v>218</v>
      </c>
      <c r="CZ16" s="187" t="s">
        <v>227</v>
      </c>
      <c r="DC16" s="188">
        <v>1020</v>
      </c>
      <c r="DD16" s="189">
        <v>6.5</v>
      </c>
      <c r="DE16" s="190" t="s">
        <v>233</v>
      </c>
      <c r="DF16" s="187" t="s">
        <v>233</v>
      </c>
      <c r="DG16" s="187" t="s">
        <v>233</v>
      </c>
      <c r="DH16" s="187" t="s">
        <v>233</v>
      </c>
      <c r="DI16" s="187" t="s">
        <v>233</v>
      </c>
      <c r="DJ16" s="187" t="s">
        <v>244</v>
      </c>
      <c r="DK16" s="191" t="s">
        <v>246</v>
      </c>
      <c r="DM16" s="187" t="s">
        <v>566</v>
      </c>
      <c r="DO16" s="187" t="s">
        <v>566</v>
      </c>
      <c r="DP16" s="187" t="s">
        <v>490</v>
      </c>
    </row>
    <row r="17" spans="1:120" x14ac:dyDescent="0.3">
      <c r="A17" s="169">
        <v>15</v>
      </c>
      <c r="B17" s="169">
        <v>15</v>
      </c>
      <c r="D17" s="169" t="s">
        <v>626</v>
      </c>
      <c r="E17" s="169" t="s">
        <v>627</v>
      </c>
      <c r="F17" s="169" t="s">
        <v>628</v>
      </c>
      <c r="G17" s="169" t="str">
        <f t="shared" si="0"/>
        <v>YUJRA CACHI ALEJANDRO</v>
      </c>
      <c r="H17" s="170">
        <v>45</v>
      </c>
      <c r="I17" s="169" t="s">
        <v>111</v>
      </c>
      <c r="J17" s="169" t="s">
        <v>629</v>
      </c>
      <c r="K17" s="171" t="s">
        <v>557</v>
      </c>
      <c r="L17" s="171" t="s">
        <v>156</v>
      </c>
      <c r="M17" s="169" t="s">
        <v>558</v>
      </c>
      <c r="N17" s="216" t="s">
        <v>559</v>
      </c>
      <c r="O17" s="216">
        <v>46105</v>
      </c>
      <c r="P17" s="172">
        <v>46156</v>
      </c>
      <c r="Q17" s="216"/>
      <c r="R17" s="216"/>
      <c r="U17" s="174">
        <v>56</v>
      </c>
      <c r="V17" s="217">
        <v>18.3</v>
      </c>
      <c r="AA17" s="174">
        <v>61</v>
      </c>
      <c r="AB17" s="174">
        <v>36</v>
      </c>
      <c r="AC17" s="174">
        <v>1</v>
      </c>
      <c r="AD17" s="174">
        <v>2</v>
      </c>
      <c r="AI17" s="236">
        <f t="shared" si="2"/>
        <v>100</v>
      </c>
      <c r="AJ17" s="218">
        <v>271000</v>
      </c>
      <c r="AM17" s="275">
        <v>1</v>
      </c>
      <c r="AO17" s="178">
        <f t="shared" si="3"/>
        <v>0</v>
      </c>
      <c r="AP17" s="178">
        <f t="shared" si="4"/>
        <v>1</v>
      </c>
      <c r="AQ17" s="237" t="str">
        <f t="shared" si="5"/>
        <v/>
      </c>
      <c r="AR17" s="220" t="s">
        <v>536</v>
      </c>
      <c r="AS17" s="345" t="s">
        <v>536</v>
      </c>
      <c r="AT17" s="221" t="s">
        <v>536</v>
      </c>
      <c r="AU17" s="221" t="s">
        <v>536</v>
      </c>
      <c r="AV17" s="221" t="s">
        <v>536</v>
      </c>
      <c r="AW17" s="221" t="s">
        <v>536</v>
      </c>
      <c r="AX17" s="222" t="s">
        <v>536</v>
      </c>
      <c r="BC17" s="183">
        <v>94</v>
      </c>
      <c r="BD17" s="223">
        <v>1.4</v>
      </c>
      <c r="BF17" s="241" t="str">
        <f t="shared" si="1"/>
        <v/>
      </c>
      <c r="BG17" s="223">
        <v>5.0999999999999996</v>
      </c>
      <c r="BL17" s="241" t="str">
        <f t="shared" si="6"/>
        <v/>
      </c>
      <c r="BM17" s="241" t="str">
        <f t="shared" si="7"/>
        <v/>
      </c>
      <c r="BN17" s="184">
        <v>31</v>
      </c>
      <c r="BO17" s="184">
        <v>43</v>
      </c>
      <c r="BS17" s="247" t="str">
        <f t="shared" si="10"/>
        <v/>
      </c>
      <c r="BU17" s="183">
        <v>4.2</v>
      </c>
      <c r="BV17" s="242" t="str">
        <f t="shared" si="8"/>
        <v/>
      </c>
      <c r="BW17" s="248" t="str">
        <f t="shared" si="9"/>
        <v/>
      </c>
      <c r="CE17" s="227" t="s">
        <v>560</v>
      </c>
      <c r="CO17" s="228" t="s">
        <v>536</v>
      </c>
      <c r="CP17" s="228" t="s">
        <v>536</v>
      </c>
      <c r="CQ17" s="228" t="s">
        <v>536</v>
      </c>
      <c r="CR17" s="228" t="s">
        <v>536</v>
      </c>
      <c r="DO17" s="232"/>
    </row>
    <row r="18" spans="1:120" x14ac:dyDescent="0.3">
      <c r="A18" s="169">
        <v>16</v>
      </c>
      <c r="B18" s="169">
        <v>16</v>
      </c>
      <c r="C18" s="170" t="s">
        <v>545</v>
      </c>
      <c r="D18" s="169" t="s">
        <v>568</v>
      </c>
      <c r="E18" s="169" t="s">
        <v>569</v>
      </c>
      <c r="F18" s="169" t="s">
        <v>570</v>
      </c>
      <c r="G18" s="169" t="str">
        <f t="shared" si="0"/>
        <v>CONDORI MOYA ALEIDA</v>
      </c>
      <c r="H18" s="170">
        <v>36</v>
      </c>
      <c r="I18" s="169" t="s">
        <v>259</v>
      </c>
      <c r="J18" s="169" t="s">
        <v>571</v>
      </c>
      <c r="K18" s="171">
        <v>50</v>
      </c>
      <c r="L18" s="171" t="s">
        <v>156</v>
      </c>
      <c r="M18" s="169" t="s">
        <v>572</v>
      </c>
      <c r="N18" s="216" t="s">
        <v>573</v>
      </c>
      <c r="O18" s="216">
        <v>46139</v>
      </c>
      <c r="P18" s="172">
        <v>46156</v>
      </c>
      <c r="Q18" s="216"/>
      <c r="R18" s="216"/>
      <c r="AI18" s="236">
        <f t="shared" si="2"/>
        <v>0</v>
      </c>
      <c r="AJ18" s="218"/>
      <c r="AM18" s="275" t="s">
        <v>536</v>
      </c>
      <c r="AO18" s="178">
        <f t="shared" si="3"/>
        <v>0</v>
      </c>
      <c r="AP18" s="178" t="e">
        <f t="shared" si="4"/>
        <v>#VALUE!</v>
      </c>
      <c r="AQ18" s="237" t="str">
        <f t="shared" si="5"/>
        <v/>
      </c>
      <c r="AR18" s="220" t="s">
        <v>536</v>
      </c>
      <c r="AS18" s="345" t="s">
        <v>536</v>
      </c>
      <c r="AT18" s="221" t="s">
        <v>536</v>
      </c>
      <c r="AU18" s="221" t="s">
        <v>536</v>
      </c>
      <c r="AV18" s="221" t="s">
        <v>536</v>
      </c>
      <c r="AW18" s="221" t="s">
        <v>536</v>
      </c>
      <c r="AX18" s="222" t="s">
        <v>536</v>
      </c>
      <c r="BF18" s="241" t="str">
        <f t="shared" si="1"/>
        <v/>
      </c>
      <c r="BL18" s="241" t="str">
        <f t="shared" si="6"/>
        <v/>
      </c>
      <c r="BM18" s="241" t="str">
        <f t="shared" si="7"/>
        <v/>
      </c>
      <c r="BS18" s="247" t="str">
        <f t="shared" si="10"/>
        <v/>
      </c>
      <c r="BV18" s="242" t="str">
        <f t="shared" si="8"/>
        <v/>
      </c>
      <c r="BW18" s="248" t="str">
        <f t="shared" si="9"/>
        <v/>
      </c>
      <c r="CO18" s="228" t="s">
        <v>536</v>
      </c>
      <c r="CP18" s="228" t="s">
        <v>536</v>
      </c>
      <c r="CQ18" s="228" t="s">
        <v>536</v>
      </c>
      <c r="CR18" s="228" t="s">
        <v>536</v>
      </c>
      <c r="CV18" s="187">
        <v>60</v>
      </c>
      <c r="CW18" s="187" t="s">
        <v>210</v>
      </c>
      <c r="CX18" s="187" t="s">
        <v>222</v>
      </c>
      <c r="CY18" s="187" t="s">
        <v>218</v>
      </c>
      <c r="CZ18" s="187" t="s">
        <v>227</v>
      </c>
      <c r="DC18" s="188">
        <v>1015</v>
      </c>
      <c r="DD18" s="189">
        <v>6.5</v>
      </c>
      <c r="DE18" s="190" t="s">
        <v>233</v>
      </c>
      <c r="DF18" s="187" t="s">
        <v>233</v>
      </c>
      <c r="DG18" s="187" t="s">
        <v>233</v>
      </c>
      <c r="DH18" s="187" t="s">
        <v>233</v>
      </c>
      <c r="DI18" s="187" t="s">
        <v>233</v>
      </c>
      <c r="DJ18" s="187" t="s">
        <v>244</v>
      </c>
      <c r="DK18" s="191" t="s">
        <v>246</v>
      </c>
      <c r="DM18" s="187" t="s">
        <v>567</v>
      </c>
      <c r="DO18" s="187" t="s">
        <v>566</v>
      </c>
      <c r="DP18" s="187" t="s">
        <v>491</v>
      </c>
    </row>
    <row r="19" spans="1:120" x14ac:dyDescent="0.3">
      <c r="A19" s="169">
        <v>17</v>
      </c>
      <c r="B19" s="169">
        <v>17</v>
      </c>
      <c r="G19" s="169" t="str">
        <f t="shared" si="0"/>
        <v xml:space="preserve">  </v>
      </c>
      <c r="H19" s="170"/>
      <c r="P19" s="172">
        <v>46156</v>
      </c>
      <c r="Q19" s="216"/>
      <c r="R19" s="216"/>
      <c r="AI19" s="236">
        <f t="shared" si="2"/>
        <v>0</v>
      </c>
      <c r="AJ19" s="218"/>
      <c r="AM19" s="275" t="s">
        <v>536</v>
      </c>
      <c r="AO19" s="178">
        <f t="shared" si="3"/>
        <v>0</v>
      </c>
      <c r="AP19" s="178" t="e">
        <f t="shared" si="4"/>
        <v>#VALUE!</v>
      </c>
      <c r="AQ19" s="237" t="str">
        <f t="shared" si="5"/>
        <v/>
      </c>
      <c r="AR19" s="220" t="s">
        <v>536</v>
      </c>
      <c r="AS19" s="345" t="s">
        <v>536</v>
      </c>
      <c r="AT19" s="221" t="s">
        <v>536</v>
      </c>
      <c r="AU19" s="221" t="s">
        <v>536</v>
      </c>
      <c r="AV19" s="221" t="s">
        <v>536</v>
      </c>
      <c r="AW19" s="221" t="s">
        <v>536</v>
      </c>
      <c r="AX19" s="222" t="s">
        <v>536</v>
      </c>
      <c r="BF19" s="241" t="str">
        <f t="shared" si="1"/>
        <v/>
      </c>
      <c r="BL19" s="241" t="str">
        <f t="shared" si="6"/>
        <v/>
      </c>
      <c r="BM19" s="241" t="str">
        <f t="shared" si="7"/>
        <v/>
      </c>
      <c r="BS19" s="247" t="str">
        <f t="shared" si="10"/>
        <v/>
      </c>
      <c r="BV19" s="242" t="str">
        <f t="shared" si="8"/>
        <v/>
      </c>
      <c r="BW19" s="248" t="str">
        <f t="shared" si="9"/>
        <v/>
      </c>
      <c r="CH19" s="343"/>
      <c r="CO19" s="228" t="s">
        <v>536</v>
      </c>
      <c r="CP19" s="228" t="s">
        <v>536</v>
      </c>
      <c r="CQ19" s="228" t="s">
        <v>536</v>
      </c>
      <c r="CR19" s="228" t="s">
        <v>536</v>
      </c>
    </row>
    <row r="20" spans="1:120" x14ac:dyDescent="0.3">
      <c r="A20" s="169">
        <v>18</v>
      </c>
      <c r="B20" s="169">
        <v>18</v>
      </c>
      <c r="G20" s="169" t="str">
        <f t="shared" si="0"/>
        <v xml:space="preserve">  </v>
      </c>
      <c r="H20" s="170"/>
      <c r="P20" s="172">
        <v>46156</v>
      </c>
      <c r="Q20" s="216"/>
      <c r="R20" s="216"/>
      <c r="AI20" s="236">
        <f t="shared" si="2"/>
        <v>0</v>
      </c>
      <c r="AJ20" s="218"/>
      <c r="AM20" s="275" t="s">
        <v>536</v>
      </c>
      <c r="AO20" s="178">
        <f t="shared" si="3"/>
        <v>0</v>
      </c>
      <c r="AP20" s="178" t="e">
        <f t="shared" si="4"/>
        <v>#VALUE!</v>
      </c>
      <c r="AQ20" s="237" t="str">
        <f t="shared" si="5"/>
        <v/>
      </c>
      <c r="AR20" s="220" t="s">
        <v>536</v>
      </c>
      <c r="AS20" s="345" t="s">
        <v>536</v>
      </c>
      <c r="AT20" s="221" t="s">
        <v>536</v>
      </c>
      <c r="AU20" s="221" t="s">
        <v>536</v>
      </c>
      <c r="AV20" s="221" t="s">
        <v>536</v>
      </c>
      <c r="AW20" s="221" t="s">
        <v>536</v>
      </c>
      <c r="AX20" s="222" t="s">
        <v>536</v>
      </c>
      <c r="BF20" s="241" t="str">
        <f t="shared" si="1"/>
        <v/>
      </c>
      <c r="BL20" s="241" t="str">
        <f t="shared" si="6"/>
        <v/>
      </c>
      <c r="BM20" s="241" t="str">
        <f t="shared" si="7"/>
        <v/>
      </c>
      <c r="BS20" s="247" t="str">
        <f t="shared" si="10"/>
        <v/>
      </c>
      <c r="BV20" s="242" t="str">
        <f t="shared" si="8"/>
        <v/>
      </c>
      <c r="BW20" s="248" t="str">
        <f t="shared" si="9"/>
        <v/>
      </c>
      <c r="CO20" s="228" t="s">
        <v>536</v>
      </c>
      <c r="CP20" s="228" t="s">
        <v>536</v>
      </c>
      <c r="CQ20" s="228" t="s">
        <v>536</v>
      </c>
      <c r="CR20" s="228" t="s">
        <v>536</v>
      </c>
    </row>
    <row r="21" spans="1:120" x14ac:dyDescent="0.3">
      <c r="A21" s="169">
        <v>19</v>
      </c>
      <c r="B21" s="169">
        <v>19</v>
      </c>
      <c r="G21" s="169" t="str">
        <f t="shared" si="0"/>
        <v xml:space="preserve">  </v>
      </c>
      <c r="H21" s="170"/>
      <c r="P21" s="172">
        <v>46156</v>
      </c>
      <c r="Q21" s="216"/>
      <c r="R21" s="216"/>
      <c r="AI21" s="236">
        <f t="shared" si="2"/>
        <v>0</v>
      </c>
      <c r="AJ21" s="218"/>
      <c r="AM21" s="275" t="s">
        <v>536</v>
      </c>
      <c r="AO21" s="178">
        <f t="shared" si="3"/>
        <v>0</v>
      </c>
      <c r="AP21" s="178" t="e">
        <f t="shared" si="4"/>
        <v>#VALUE!</v>
      </c>
      <c r="AQ21" s="237" t="str">
        <f t="shared" si="5"/>
        <v/>
      </c>
      <c r="AR21" s="220" t="s">
        <v>536</v>
      </c>
      <c r="AS21" s="345" t="s">
        <v>536</v>
      </c>
      <c r="AT21" s="221" t="s">
        <v>536</v>
      </c>
      <c r="AU21" s="221" t="s">
        <v>536</v>
      </c>
      <c r="AV21" s="221" t="s">
        <v>536</v>
      </c>
      <c r="AW21" s="221" t="s">
        <v>536</v>
      </c>
      <c r="AX21" s="222" t="s">
        <v>536</v>
      </c>
      <c r="BF21" s="241" t="str">
        <f t="shared" si="1"/>
        <v/>
      </c>
      <c r="BL21" s="241" t="str">
        <f t="shared" si="6"/>
        <v/>
      </c>
      <c r="BM21" s="241" t="str">
        <f t="shared" si="7"/>
        <v/>
      </c>
      <c r="BS21" s="247" t="str">
        <f t="shared" si="10"/>
        <v/>
      </c>
      <c r="BV21" s="242" t="str">
        <f t="shared" si="8"/>
        <v/>
      </c>
      <c r="BW21" s="248" t="str">
        <f t="shared" si="9"/>
        <v/>
      </c>
      <c r="CO21" s="228" t="s">
        <v>536</v>
      </c>
      <c r="CP21" s="228" t="s">
        <v>536</v>
      </c>
      <c r="CQ21" s="228" t="s">
        <v>536</v>
      </c>
      <c r="CR21" s="228" t="s">
        <v>536</v>
      </c>
    </row>
    <row r="22" spans="1:120" x14ac:dyDescent="0.3">
      <c r="A22" s="169">
        <v>20</v>
      </c>
      <c r="B22" s="169">
        <v>20</v>
      </c>
      <c r="G22" s="169" t="str">
        <f t="shared" si="0"/>
        <v xml:space="preserve">  </v>
      </c>
      <c r="H22" s="170"/>
      <c r="P22" s="172">
        <v>46156</v>
      </c>
      <c r="Q22" s="216"/>
      <c r="R22" s="216"/>
      <c r="AI22" s="236">
        <f t="shared" si="2"/>
        <v>0</v>
      </c>
      <c r="AJ22" s="218"/>
      <c r="AM22" s="275" t="s">
        <v>536</v>
      </c>
      <c r="AO22" s="178">
        <f t="shared" si="3"/>
        <v>0</v>
      </c>
      <c r="AP22" s="178" t="e">
        <f t="shared" si="4"/>
        <v>#VALUE!</v>
      </c>
      <c r="AQ22" s="237" t="str">
        <f t="shared" si="5"/>
        <v/>
      </c>
      <c r="AR22" s="220" t="s">
        <v>536</v>
      </c>
      <c r="AS22" s="345" t="s">
        <v>536</v>
      </c>
      <c r="AT22" s="221" t="s">
        <v>536</v>
      </c>
      <c r="AU22" s="221" t="s">
        <v>536</v>
      </c>
      <c r="AV22" s="221" t="s">
        <v>536</v>
      </c>
      <c r="AW22" s="221" t="s">
        <v>536</v>
      </c>
      <c r="AX22" s="222" t="s">
        <v>536</v>
      </c>
      <c r="BF22" s="241" t="str">
        <f t="shared" si="1"/>
        <v/>
      </c>
      <c r="BL22" s="241" t="str">
        <f t="shared" si="6"/>
        <v/>
      </c>
      <c r="BM22" s="241" t="str">
        <f t="shared" si="7"/>
        <v/>
      </c>
      <c r="BS22" s="247" t="str">
        <f t="shared" si="10"/>
        <v/>
      </c>
      <c r="BV22" s="242" t="str">
        <f t="shared" si="8"/>
        <v/>
      </c>
      <c r="BW22" s="248" t="str">
        <f t="shared" si="9"/>
        <v/>
      </c>
      <c r="CO22" s="228" t="s">
        <v>536</v>
      </c>
      <c r="CP22" s="228" t="s">
        <v>536</v>
      </c>
      <c r="CQ22" s="228" t="s">
        <v>536</v>
      </c>
      <c r="CR22" s="228" t="s">
        <v>536</v>
      </c>
    </row>
    <row r="23" spans="1:120" x14ac:dyDescent="0.3">
      <c r="A23" s="169">
        <v>21</v>
      </c>
      <c r="B23" s="169">
        <v>21</v>
      </c>
      <c r="G23" s="169" t="str">
        <f t="shared" si="0"/>
        <v xml:space="preserve">  </v>
      </c>
      <c r="H23" s="170"/>
      <c r="P23" s="172">
        <v>46156</v>
      </c>
      <c r="Q23" s="216"/>
      <c r="R23" s="216"/>
      <c r="AI23" s="236">
        <f t="shared" si="2"/>
        <v>0</v>
      </c>
      <c r="AJ23" s="218"/>
      <c r="AM23" s="275" t="s">
        <v>536</v>
      </c>
      <c r="AO23" s="178">
        <f t="shared" si="3"/>
        <v>0</v>
      </c>
      <c r="AP23" s="178" t="e">
        <f t="shared" si="4"/>
        <v>#VALUE!</v>
      </c>
      <c r="AQ23" s="237" t="str">
        <f t="shared" si="5"/>
        <v/>
      </c>
      <c r="AR23" s="220" t="s">
        <v>536</v>
      </c>
      <c r="AS23" s="345" t="s">
        <v>536</v>
      </c>
      <c r="AT23" s="221" t="s">
        <v>536</v>
      </c>
      <c r="AU23" s="221" t="s">
        <v>536</v>
      </c>
      <c r="AV23" s="221" t="s">
        <v>536</v>
      </c>
      <c r="AW23" s="221" t="s">
        <v>536</v>
      </c>
      <c r="AX23" s="222" t="s">
        <v>536</v>
      </c>
      <c r="BF23" s="241" t="str">
        <f t="shared" si="1"/>
        <v/>
      </c>
      <c r="BL23" s="241" t="str">
        <f t="shared" si="6"/>
        <v/>
      </c>
      <c r="BM23" s="241" t="str">
        <f t="shared" si="7"/>
        <v/>
      </c>
      <c r="BS23" s="247" t="str">
        <f t="shared" si="10"/>
        <v/>
      </c>
      <c r="BV23" s="242" t="str">
        <f t="shared" si="8"/>
        <v/>
      </c>
      <c r="BW23" s="248" t="str">
        <f t="shared" si="9"/>
        <v/>
      </c>
      <c r="CO23" s="228" t="s">
        <v>536</v>
      </c>
      <c r="CP23" s="228" t="s">
        <v>536</v>
      </c>
      <c r="CQ23" s="228" t="s">
        <v>536</v>
      </c>
      <c r="CR23" s="228" t="s">
        <v>536</v>
      </c>
    </row>
    <row r="24" spans="1:120" x14ac:dyDescent="0.3">
      <c r="A24" s="169">
        <v>22</v>
      </c>
      <c r="B24" s="169">
        <v>22</v>
      </c>
      <c r="G24" s="169" t="str">
        <f t="shared" si="0"/>
        <v xml:space="preserve">  </v>
      </c>
      <c r="H24" s="170"/>
      <c r="P24" s="172">
        <v>46156</v>
      </c>
      <c r="Q24" s="216"/>
      <c r="R24" s="216"/>
      <c r="AI24" s="236">
        <f t="shared" si="2"/>
        <v>0</v>
      </c>
      <c r="AJ24" s="218"/>
      <c r="AM24" s="275" t="s">
        <v>536</v>
      </c>
      <c r="AO24" s="178">
        <f t="shared" si="3"/>
        <v>0</v>
      </c>
      <c r="AP24" s="178" t="e">
        <f t="shared" si="4"/>
        <v>#VALUE!</v>
      </c>
      <c r="AQ24" s="237" t="str">
        <f t="shared" si="5"/>
        <v/>
      </c>
      <c r="AR24" s="220" t="s">
        <v>536</v>
      </c>
      <c r="AS24" s="345" t="s">
        <v>536</v>
      </c>
      <c r="AT24" s="221" t="s">
        <v>536</v>
      </c>
      <c r="AU24" s="221" t="s">
        <v>536</v>
      </c>
      <c r="AV24" s="221" t="s">
        <v>536</v>
      </c>
      <c r="AW24" s="221" t="s">
        <v>536</v>
      </c>
      <c r="AX24" s="222" t="s">
        <v>536</v>
      </c>
      <c r="BF24" s="241" t="str">
        <f t="shared" si="1"/>
        <v/>
      </c>
      <c r="BL24" s="241" t="str">
        <f t="shared" si="6"/>
        <v/>
      </c>
      <c r="BM24" s="241" t="str">
        <f t="shared" si="7"/>
        <v/>
      </c>
      <c r="BS24" s="247" t="str">
        <f t="shared" si="10"/>
        <v/>
      </c>
      <c r="BV24" s="242" t="str">
        <f t="shared" si="8"/>
        <v/>
      </c>
      <c r="BW24" s="248" t="str">
        <f t="shared" si="9"/>
        <v/>
      </c>
      <c r="CO24" s="228" t="s">
        <v>536</v>
      </c>
      <c r="CP24" s="228" t="s">
        <v>536</v>
      </c>
      <c r="CQ24" s="228" t="s">
        <v>536</v>
      </c>
      <c r="CR24" s="228" t="s">
        <v>536</v>
      </c>
    </row>
    <row r="25" spans="1:120" x14ac:dyDescent="0.3">
      <c r="A25" s="169">
        <v>23</v>
      </c>
      <c r="B25" s="169">
        <v>23</v>
      </c>
      <c r="G25" s="169" t="str">
        <f t="shared" si="0"/>
        <v xml:space="preserve">  </v>
      </c>
      <c r="H25" s="170"/>
      <c r="P25" s="172">
        <v>46156</v>
      </c>
      <c r="Q25" s="216"/>
      <c r="R25" s="216"/>
      <c r="AI25" s="236">
        <f t="shared" si="2"/>
        <v>0</v>
      </c>
      <c r="AJ25" s="218"/>
      <c r="AM25" s="275" t="s">
        <v>536</v>
      </c>
      <c r="AO25" s="178">
        <f t="shared" si="3"/>
        <v>0</v>
      </c>
      <c r="AP25" s="178" t="e">
        <f t="shared" si="4"/>
        <v>#VALUE!</v>
      </c>
      <c r="AQ25" s="237" t="str">
        <f t="shared" si="5"/>
        <v/>
      </c>
      <c r="AR25" s="220" t="s">
        <v>536</v>
      </c>
      <c r="AS25" s="345" t="s">
        <v>536</v>
      </c>
      <c r="AT25" s="221" t="s">
        <v>536</v>
      </c>
      <c r="AU25" s="221" t="s">
        <v>536</v>
      </c>
      <c r="AV25" s="221" t="s">
        <v>536</v>
      </c>
      <c r="AW25" s="221" t="s">
        <v>536</v>
      </c>
      <c r="AX25" s="222" t="s">
        <v>536</v>
      </c>
      <c r="BF25" s="241" t="str">
        <f t="shared" si="1"/>
        <v/>
      </c>
      <c r="BL25" s="241" t="str">
        <f t="shared" si="6"/>
        <v/>
      </c>
      <c r="BM25" s="241" t="str">
        <f t="shared" si="7"/>
        <v/>
      </c>
      <c r="BS25" s="247" t="str">
        <f t="shared" si="10"/>
        <v/>
      </c>
      <c r="BV25" s="242" t="str">
        <f t="shared" si="8"/>
        <v/>
      </c>
      <c r="BW25" s="248" t="str">
        <f t="shared" si="9"/>
        <v/>
      </c>
      <c r="CO25" s="228" t="s">
        <v>536</v>
      </c>
      <c r="CP25" s="228" t="s">
        <v>536</v>
      </c>
      <c r="CQ25" s="228" t="s">
        <v>536</v>
      </c>
      <c r="CR25" s="228" t="s">
        <v>536</v>
      </c>
    </row>
    <row r="26" spans="1:120" x14ac:dyDescent="0.3">
      <c r="A26" s="169">
        <v>24</v>
      </c>
      <c r="B26" s="169">
        <v>24</v>
      </c>
      <c r="G26" s="169" t="str">
        <f t="shared" si="0"/>
        <v xml:space="preserve">  </v>
      </c>
      <c r="H26" s="170"/>
      <c r="P26" s="172">
        <v>46156</v>
      </c>
      <c r="Q26" s="216"/>
      <c r="R26" s="216"/>
      <c r="AI26" s="236">
        <f t="shared" si="2"/>
        <v>0</v>
      </c>
      <c r="AJ26" s="218"/>
      <c r="AM26" s="275" t="s">
        <v>536</v>
      </c>
      <c r="AO26" s="178">
        <f t="shared" si="3"/>
        <v>0</v>
      </c>
      <c r="AP26" s="178" t="e">
        <f t="shared" si="4"/>
        <v>#VALUE!</v>
      </c>
      <c r="AQ26" s="237" t="str">
        <f t="shared" si="5"/>
        <v/>
      </c>
      <c r="AR26" s="220" t="s">
        <v>536</v>
      </c>
      <c r="AS26" s="345" t="s">
        <v>536</v>
      </c>
      <c r="AT26" s="221" t="s">
        <v>536</v>
      </c>
      <c r="AU26" s="221" t="s">
        <v>536</v>
      </c>
      <c r="AV26" s="221" t="s">
        <v>536</v>
      </c>
      <c r="AW26" s="221" t="s">
        <v>536</v>
      </c>
      <c r="AX26" s="222" t="s">
        <v>536</v>
      </c>
      <c r="BF26" s="241" t="str">
        <f t="shared" si="1"/>
        <v/>
      </c>
      <c r="BL26" s="241" t="str">
        <f t="shared" si="6"/>
        <v/>
      </c>
      <c r="BM26" s="241" t="str">
        <f t="shared" si="7"/>
        <v/>
      </c>
      <c r="BS26" s="247" t="str">
        <f t="shared" si="10"/>
        <v/>
      </c>
      <c r="BV26" s="242" t="str">
        <f t="shared" si="8"/>
        <v/>
      </c>
      <c r="BW26" s="248" t="str">
        <f t="shared" si="9"/>
        <v/>
      </c>
      <c r="CO26" s="228" t="s">
        <v>536</v>
      </c>
      <c r="CP26" s="228" t="s">
        <v>536</v>
      </c>
      <c r="CQ26" s="228" t="s">
        <v>536</v>
      </c>
      <c r="CR26" s="228" t="s">
        <v>536</v>
      </c>
    </row>
    <row r="27" spans="1:120" x14ac:dyDescent="0.3">
      <c r="A27" s="169">
        <v>25</v>
      </c>
      <c r="B27" s="169">
        <v>25</v>
      </c>
      <c r="G27" s="169" t="str">
        <f t="shared" si="0"/>
        <v xml:space="preserve">  </v>
      </c>
      <c r="H27" s="170"/>
      <c r="P27" s="172">
        <v>46156</v>
      </c>
      <c r="Q27" s="216"/>
      <c r="R27" s="216"/>
      <c r="AI27" s="236">
        <f t="shared" si="2"/>
        <v>0</v>
      </c>
      <c r="AJ27" s="218"/>
      <c r="AM27" s="275" t="s">
        <v>536</v>
      </c>
      <c r="AO27" s="178">
        <f t="shared" si="3"/>
        <v>0</v>
      </c>
      <c r="AP27" s="178" t="e">
        <f t="shared" si="4"/>
        <v>#VALUE!</v>
      </c>
      <c r="AQ27" s="237" t="str">
        <f t="shared" si="5"/>
        <v/>
      </c>
      <c r="AR27" s="220" t="s">
        <v>536</v>
      </c>
      <c r="AS27" s="345" t="s">
        <v>536</v>
      </c>
      <c r="AT27" s="221" t="s">
        <v>536</v>
      </c>
      <c r="AU27" s="221" t="s">
        <v>536</v>
      </c>
      <c r="AV27" s="221" t="s">
        <v>536</v>
      </c>
      <c r="AW27" s="221" t="s">
        <v>536</v>
      </c>
      <c r="AX27" s="222" t="s">
        <v>536</v>
      </c>
      <c r="BF27" s="241" t="str">
        <f t="shared" si="1"/>
        <v/>
      </c>
      <c r="BL27" s="241" t="str">
        <f t="shared" si="6"/>
        <v/>
      </c>
      <c r="BM27" s="241" t="str">
        <f t="shared" si="7"/>
        <v/>
      </c>
      <c r="BS27" s="247" t="str">
        <f t="shared" si="10"/>
        <v/>
      </c>
      <c r="BV27" s="242" t="str">
        <f t="shared" si="8"/>
        <v/>
      </c>
      <c r="BW27" s="248" t="str">
        <f t="shared" si="9"/>
        <v/>
      </c>
      <c r="CO27" s="228" t="s">
        <v>536</v>
      </c>
      <c r="CP27" s="228" t="s">
        <v>536</v>
      </c>
      <c r="CQ27" s="228" t="s">
        <v>536</v>
      </c>
      <c r="CR27" s="228" t="s">
        <v>536</v>
      </c>
      <c r="DM27" s="190"/>
    </row>
    <row r="28" spans="1:120" x14ac:dyDescent="0.3">
      <c r="A28" s="169">
        <v>26</v>
      </c>
      <c r="B28" s="169">
        <v>26</v>
      </c>
      <c r="G28" s="169" t="str">
        <f t="shared" si="0"/>
        <v xml:space="preserve">  </v>
      </c>
      <c r="H28" s="170"/>
      <c r="I28" s="169" t="s">
        <v>111</v>
      </c>
      <c r="P28" s="172">
        <v>46156</v>
      </c>
      <c r="AI28" s="236">
        <f t="shared" si="2"/>
        <v>0</v>
      </c>
      <c r="AJ28" s="218"/>
      <c r="AM28" s="275" t="s">
        <v>536</v>
      </c>
      <c r="AO28" s="178">
        <f t="shared" si="3"/>
        <v>0</v>
      </c>
      <c r="AP28" s="178" t="e">
        <f t="shared" si="4"/>
        <v>#VALUE!</v>
      </c>
      <c r="AQ28" s="237" t="str">
        <f t="shared" si="5"/>
        <v/>
      </c>
      <c r="AR28" s="220" t="s">
        <v>536</v>
      </c>
      <c r="AS28" s="345" t="s">
        <v>536</v>
      </c>
      <c r="AT28" s="221" t="s">
        <v>536</v>
      </c>
      <c r="AU28" s="221" t="s">
        <v>536</v>
      </c>
      <c r="AV28" s="221" t="s">
        <v>536</v>
      </c>
      <c r="AW28" s="221" t="s">
        <v>536</v>
      </c>
      <c r="AX28" s="222" t="s">
        <v>536</v>
      </c>
      <c r="BF28" s="241" t="str">
        <f t="shared" si="1"/>
        <v/>
      </c>
      <c r="BL28" s="241" t="str">
        <f t="shared" si="6"/>
        <v/>
      </c>
      <c r="BM28" s="241" t="str">
        <f t="shared" si="7"/>
        <v/>
      </c>
      <c r="BS28" s="247" t="str">
        <f t="shared" si="10"/>
        <v/>
      </c>
      <c r="BV28" s="242" t="str">
        <f t="shared" si="8"/>
        <v/>
      </c>
      <c r="BW28" s="248" t="str">
        <f t="shared" si="9"/>
        <v/>
      </c>
      <c r="CO28" s="228" t="s">
        <v>536</v>
      </c>
      <c r="CP28" s="228" t="s">
        <v>536</v>
      </c>
      <c r="CQ28" s="228" t="s">
        <v>536</v>
      </c>
      <c r="CR28" s="228" t="s">
        <v>536</v>
      </c>
    </row>
    <row r="29" spans="1:120" x14ac:dyDescent="0.3">
      <c r="A29" s="169">
        <v>27</v>
      </c>
      <c r="B29" s="169">
        <v>27</v>
      </c>
      <c r="G29" s="169" t="str">
        <f t="shared" si="0"/>
        <v xml:space="preserve">  </v>
      </c>
      <c r="H29" s="170"/>
      <c r="L29" s="171" t="s">
        <v>270</v>
      </c>
      <c r="P29" s="172">
        <v>46156</v>
      </c>
      <c r="AI29" s="236">
        <f t="shared" si="2"/>
        <v>0</v>
      </c>
      <c r="AJ29" s="218"/>
      <c r="AM29" s="275" t="s">
        <v>536</v>
      </c>
      <c r="AO29" s="178">
        <f t="shared" si="3"/>
        <v>0</v>
      </c>
      <c r="AP29" s="178" t="e">
        <f t="shared" si="4"/>
        <v>#VALUE!</v>
      </c>
      <c r="AQ29" s="237" t="str">
        <f t="shared" si="5"/>
        <v/>
      </c>
      <c r="AR29" s="220" t="s">
        <v>536</v>
      </c>
      <c r="AS29" s="345" t="s">
        <v>536</v>
      </c>
      <c r="AT29" s="221" t="s">
        <v>536</v>
      </c>
      <c r="AU29" s="221" t="s">
        <v>536</v>
      </c>
      <c r="AV29" s="221" t="s">
        <v>536</v>
      </c>
      <c r="AW29" s="221" t="s">
        <v>536</v>
      </c>
      <c r="AX29" s="222" t="s">
        <v>536</v>
      </c>
      <c r="BF29" s="241" t="str">
        <f t="shared" si="1"/>
        <v/>
      </c>
      <c r="BL29" s="241" t="str">
        <f t="shared" si="6"/>
        <v/>
      </c>
      <c r="BM29" s="241" t="str">
        <f t="shared" si="7"/>
        <v/>
      </c>
      <c r="BS29" s="247" t="str">
        <f t="shared" si="10"/>
        <v/>
      </c>
      <c r="BV29" s="242" t="str">
        <f t="shared" si="8"/>
        <v/>
      </c>
      <c r="BW29" s="248" t="str">
        <f t="shared" si="9"/>
        <v/>
      </c>
      <c r="CO29" s="228" t="s">
        <v>536</v>
      </c>
      <c r="CP29" s="228" t="s">
        <v>536</v>
      </c>
      <c r="CQ29" s="228" t="s">
        <v>536</v>
      </c>
      <c r="CR29" s="228" t="s">
        <v>536</v>
      </c>
    </row>
    <row r="30" spans="1:120" x14ac:dyDescent="0.3">
      <c r="A30" s="169">
        <v>28</v>
      </c>
      <c r="B30" s="169">
        <v>28</v>
      </c>
      <c r="G30" s="169" t="str">
        <f t="shared" si="0"/>
        <v xml:space="preserve">  </v>
      </c>
      <c r="H30" s="170"/>
      <c r="P30" s="172">
        <v>46156</v>
      </c>
      <c r="AI30" s="236">
        <f t="shared" si="2"/>
        <v>0</v>
      </c>
      <c r="AJ30" s="218"/>
      <c r="AM30" s="275" t="s">
        <v>536</v>
      </c>
      <c r="AO30" s="178">
        <f t="shared" si="3"/>
        <v>0</v>
      </c>
      <c r="AP30" s="178" t="e">
        <f t="shared" si="4"/>
        <v>#VALUE!</v>
      </c>
      <c r="AQ30" s="237" t="str">
        <f t="shared" si="5"/>
        <v/>
      </c>
      <c r="AR30" s="220" t="s">
        <v>536</v>
      </c>
      <c r="AS30" s="345" t="s">
        <v>536</v>
      </c>
      <c r="AT30" s="221" t="s">
        <v>536</v>
      </c>
      <c r="AU30" s="221" t="s">
        <v>536</v>
      </c>
      <c r="AV30" s="221" t="s">
        <v>536</v>
      </c>
      <c r="AW30" s="221" t="s">
        <v>536</v>
      </c>
      <c r="AX30" s="222" t="s">
        <v>536</v>
      </c>
      <c r="BF30" s="241" t="str">
        <f t="shared" si="1"/>
        <v/>
      </c>
      <c r="BL30" s="241" t="str">
        <f t="shared" si="6"/>
        <v/>
      </c>
      <c r="BM30" s="241" t="str">
        <f t="shared" si="7"/>
        <v/>
      </c>
      <c r="BS30" s="247" t="str">
        <f t="shared" si="10"/>
        <v/>
      </c>
      <c r="BV30" s="242" t="str">
        <f t="shared" si="8"/>
        <v/>
      </c>
      <c r="BW30" s="248" t="str">
        <f t="shared" si="9"/>
        <v/>
      </c>
      <c r="CO30" s="228" t="s">
        <v>536</v>
      </c>
      <c r="CP30" s="228" t="s">
        <v>536</v>
      </c>
      <c r="CQ30" s="228" t="s">
        <v>536</v>
      </c>
      <c r="CR30" s="228" t="s">
        <v>536</v>
      </c>
    </row>
    <row r="31" spans="1:120" x14ac:dyDescent="0.3">
      <c r="A31" s="169">
        <v>29</v>
      </c>
      <c r="B31" s="169">
        <v>29</v>
      </c>
      <c r="G31" s="169" t="str">
        <f t="shared" si="0"/>
        <v xml:space="preserve">  </v>
      </c>
      <c r="H31" s="170"/>
      <c r="P31" s="172">
        <v>46156</v>
      </c>
      <c r="AI31" s="236">
        <f t="shared" si="2"/>
        <v>0</v>
      </c>
      <c r="AJ31" s="218"/>
      <c r="AM31" s="275" t="s">
        <v>536</v>
      </c>
      <c r="AO31" s="178">
        <f t="shared" si="3"/>
        <v>0</v>
      </c>
      <c r="AP31" s="178" t="e">
        <f t="shared" si="4"/>
        <v>#VALUE!</v>
      </c>
      <c r="AQ31" s="237" t="str">
        <f t="shared" si="5"/>
        <v/>
      </c>
      <c r="AR31" s="220" t="s">
        <v>536</v>
      </c>
      <c r="AS31" s="345" t="s">
        <v>536</v>
      </c>
      <c r="AT31" s="221" t="s">
        <v>536</v>
      </c>
      <c r="AU31" s="221" t="s">
        <v>536</v>
      </c>
      <c r="AV31" s="221" t="s">
        <v>536</v>
      </c>
      <c r="AW31" s="221" t="s">
        <v>536</v>
      </c>
      <c r="AX31" s="222" t="s">
        <v>536</v>
      </c>
      <c r="BF31" s="241" t="str">
        <f t="shared" si="1"/>
        <v/>
      </c>
      <c r="BL31" s="241" t="str">
        <f t="shared" si="6"/>
        <v/>
      </c>
      <c r="BM31" s="241" t="str">
        <f t="shared" si="7"/>
        <v/>
      </c>
      <c r="BS31" s="247" t="str">
        <f t="shared" si="10"/>
        <v/>
      </c>
      <c r="BV31" s="242" t="str">
        <f t="shared" si="8"/>
        <v/>
      </c>
      <c r="BW31" s="248" t="str">
        <f t="shared" si="9"/>
        <v/>
      </c>
      <c r="CO31" s="228" t="s">
        <v>536</v>
      </c>
      <c r="CP31" s="228" t="s">
        <v>536</v>
      </c>
      <c r="CQ31" s="228" t="s">
        <v>536</v>
      </c>
      <c r="CR31" s="228" t="s">
        <v>536</v>
      </c>
    </row>
    <row r="32" spans="1:120" x14ac:dyDescent="0.3">
      <c r="A32" s="169">
        <v>30</v>
      </c>
      <c r="B32" s="169">
        <v>30</v>
      </c>
      <c r="G32" s="169" t="str">
        <f t="shared" si="0"/>
        <v xml:space="preserve">  </v>
      </c>
      <c r="H32" s="170"/>
      <c r="P32" s="172">
        <v>46156</v>
      </c>
      <c r="AI32" s="236">
        <f t="shared" si="2"/>
        <v>0</v>
      </c>
      <c r="AJ32" s="218"/>
      <c r="AM32" s="275" t="s">
        <v>536</v>
      </c>
      <c r="AO32" s="178">
        <f t="shared" si="3"/>
        <v>0</v>
      </c>
      <c r="AP32" s="178" t="e">
        <f t="shared" si="4"/>
        <v>#VALUE!</v>
      </c>
      <c r="AQ32" s="237" t="str">
        <f t="shared" si="5"/>
        <v/>
      </c>
      <c r="AR32" s="220" t="s">
        <v>536</v>
      </c>
      <c r="AS32" s="345" t="s">
        <v>536</v>
      </c>
      <c r="AT32" s="221" t="s">
        <v>536</v>
      </c>
      <c r="AU32" s="221" t="s">
        <v>536</v>
      </c>
      <c r="AV32" s="221" t="s">
        <v>536</v>
      </c>
      <c r="AW32" s="221" t="s">
        <v>536</v>
      </c>
      <c r="AX32" s="222" t="s">
        <v>536</v>
      </c>
      <c r="BF32" s="241" t="str">
        <f t="shared" si="1"/>
        <v/>
      </c>
      <c r="BL32" s="241" t="str">
        <f t="shared" si="6"/>
        <v/>
      </c>
      <c r="BM32" s="241" t="str">
        <f t="shared" si="7"/>
        <v/>
      </c>
      <c r="BS32" s="247" t="str">
        <f t="shared" si="10"/>
        <v/>
      </c>
      <c r="BV32" s="242" t="str">
        <f t="shared" si="8"/>
        <v/>
      </c>
      <c r="BW32" s="248" t="str">
        <f t="shared" si="9"/>
        <v/>
      </c>
      <c r="CO32" s="228" t="s">
        <v>536</v>
      </c>
      <c r="CP32" s="228" t="s">
        <v>536</v>
      </c>
      <c r="CQ32" s="228" t="s">
        <v>536</v>
      </c>
      <c r="CR32" s="228" t="s">
        <v>536</v>
      </c>
    </row>
    <row r="33" spans="1:96" x14ac:dyDescent="0.3">
      <c r="A33" s="169">
        <v>31</v>
      </c>
      <c r="B33" s="169">
        <v>31</v>
      </c>
      <c r="G33" s="169" t="str">
        <f t="shared" si="0"/>
        <v xml:space="preserve">  </v>
      </c>
      <c r="H33" s="170"/>
      <c r="P33" s="172">
        <v>46156</v>
      </c>
      <c r="AI33" s="236">
        <f t="shared" si="2"/>
        <v>0</v>
      </c>
      <c r="AJ33" s="218"/>
      <c r="AM33" s="275" t="s">
        <v>536</v>
      </c>
      <c r="AO33" s="178">
        <f t="shared" si="3"/>
        <v>0</v>
      </c>
      <c r="AP33" s="178" t="e">
        <f t="shared" si="4"/>
        <v>#VALUE!</v>
      </c>
      <c r="AQ33" s="237" t="str">
        <f t="shared" si="5"/>
        <v/>
      </c>
      <c r="AR33" s="220" t="s">
        <v>536</v>
      </c>
      <c r="AS33" s="345" t="s">
        <v>536</v>
      </c>
      <c r="AT33" s="221" t="s">
        <v>536</v>
      </c>
      <c r="AU33" s="221" t="s">
        <v>536</v>
      </c>
      <c r="AV33" s="221" t="s">
        <v>536</v>
      </c>
      <c r="AW33" s="221" t="s">
        <v>536</v>
      </c>
      <c r="AX33" s="222" t="s">
        <v>536</v>
      </c>
      <c r="BF33" s="241" t="str">
        <f t="shared" si="1"/>
        <v/>
      </c>
      <c r="BL33" s="241" t="str">
        <f t="shared" si="6"/>
        <v/>
      </c>
      <c r="BM33" s="241" t="str">
        <f t="shared" si="7"/>
        <v/>
      </c>
      <c r="BS33" s="247" t="str">
        <f t="shared" si="10"/>
        <v/>
      </c>
      <c r="BV33" s="242" t="str">
        <f t="shared" si="8"/>
        <v/>
      </c>
      <c r="BW33" s="248" t="str">
        <f t="shared" si="9"/>
        <v/>
      </c>
      <c r="CO33" s="228" t="s">
        <v>536</v>
      </c>
      <c r="CP33" s="228" t="s">
        <v>536</v>
      </c>
      <c r="CQ33" s="228" t="s">
        <v>536</v>
      </c>
      <c r="CR33" s="228" t="s">
        <v>536</v>
      </c>
    </row>
    <row r="34" spans="1:96" x14ac:dyDescent="0.3">
      <c r="A34" s="169">
        <v>32</v>
      </c>
      <c r="B34" s="169">
        <v>32</v>
      </c>
      <c r="G34" s="169" t="str">
        <f t="shared" si="0"/>
        <v xml:space="preserve">  </v>
      </c>
      <c r="H34" s="170"/>
      <c r="P34" s="172">
        <v>46156</v>
      </c>
      <c r="AI34" s="236">
        <f t="shared" si="2"/>
        <v>0</v>
      </c>
      <c r="AJ34" s="218"/>
      <c r="AM34" s="275" t="s">
        <v>536</v>
      </c>
      <c r="AO34" s="178">
        <f t="shared" si="3"/>
        <v>0</v>
      </c>
      <c r="AP34" s="178" t="e">
        <f t="shared" si="4"/>
        <v>#VALUE!</v>
      </c>
      <c r="AQ34" s="237" t="str">
        <f t="shared" si="5"/>
        <v/>
      </c>
      <c r="AR34" s="220" t="s">
        <v>536</v>
      </c>
      <c r="AS34" s="345" t="s">
        <v>536</v>
      </c>
      <c r="AT34" s="221" t="s">
        <v>536</v>
      </c>
      <c r="AU34" s="221" t="s">
        <v>536</v>
      </c>
      <c r="AV34" s="221" t="s">
        <v>536</v>
      </c>
      <c r="AW34" s="221" t="s">
        <v>536</v>
      </c>
      <c r="AX34" s="222" t="s">
        <v>536</v>
      </c>
      <c r="BF34" s="241" t="str">
        <f t="shared" si="1"/>
        <v/>
      </c>
      <c r="BL34" s="241" t="str">
        <f t="shared" si="6"/>
        <v/>
      </c>
      <c r="BM34" s="241" t="str">
        <f t="shared" si="7"/>
        <v/>
      </c>
      <c r="BS34" s="247" t="str">
        <f t="shared" si="10"/>
        <v/>
      </c>
      <c r="BV34" s="242" t="str">
        <f t="shared" si="8"/>
        <v/>
      </c>
      <c r="BW34" s="248" t="str">
        <f t="shared" si="9"/>
        <v/>
      </c>
      <c r="CO34" s="228" t="s">
        <v>536</v>
      </c>
      <c r="CP34" s="228" t="s">
        <v>536</v>
      </c>
      <c r="CQ34" s="228" t="s">
        <v>536</v>
      </c>
      <c r="CR34" s="228" t="s">
        <v>536</v>
      </c>
    </row>
    <row r="35" spans="1:96" x14ac:dyDescent="0.3">
      <c r="A35" s="169">
        <v>33</v>
      </c>
      <c r="B35" s="169">
        <v>33</v>
      </c>
      <c r="G35" s="169" t="str">
        <f t="shared" si="0"/>
        <v xml:space="preserve">  </v>
      </c>
      <c r="H35" s="170"/>
      <c r="P35" s="172">
        <v>46156</v>
      </c>
      <c r="AI35" s="236">
        <f t="shared" si="2"/>
        <v>0</v>
      </c>
      <c r="AJ35" s="218"/>
      <c r="AM35" s="275" t="s">
        <v>536</v>
      </c>
      <c r="AO35" s="178">
        <f t="shared" si="3"/>
        <v>0</v>
      </c>
      <c r="AP35" s="178" t="e">
        <f t="shared" si="4"/>
        <v>#VALUE!</v>
      </c>
      <c r="AQ35" s="237" t="str">
        <f t="shared" si="5"/>
        <v/>
      </c>
      <c r="AR35" s="220" t="s">
        <v>536</v>
      </c>
      <c r="AS35" s="345" t="s">
        <v>536</v>
      </c>
      <c r="AT35" s="221" t="s">
        <v>536</v>
      </c>
      <c r="AU35" s="221" t="s">
        <v>536</v>
      </c>
      <c r="AV35" s="221" t="s">
        <v>536</v>
      </c>
      <c r="AW35" s="221" t="s">
        <v>536</v>
      </c>
      <c r="AX35" s="222" t="s">
        <v>536</v>
      </c>
      <c r="BF35" s="241" t="str">
        <f t="shared" si="1"/>
        <v/>
      </c>
      <c r="BL35" s="241" t="str">
        <f t="shared" si="6"/>
        <v/>
      </c>
      <c r="BM35" s="241" t="str">
        <f t="shared" si="7"/>
        <v/>
      </c>
      <c r="BS35" s="247" t="str">
        <f t="shared" si="10"/>
        <v/>
      </c>
      <c r="BV35" s="242" t="str">
        <f t="shared" si="8"/>
        <v/>
      </c>
      <c r="BW35" s="248" t="str">
        <f t="shared" si="9"/>
        <v/>
      </c>
      <c r="CO35" s="228" t="s">
        <v>536</v>
      </c>
      <c r="CP35" s="228" t="s">
        <v>536</v>
      </c>
      <c r="CQ35" s="228" t="s">
        <v>536</v>
      </c>
      <c r="CR35" s="228" t="s">
        <v>536</v>
      </c>
    </row>
    <row r="36" spans="1:96" x14ac:dyDescent="0.3">
      <c r="A36" s="169">
        <v>34</v>
      </c>
      <c r="B36" s="169">
        <v>34</v>
      </c>
      <c r="G36" s="169" t="str">
        <f t="shared" si="0"/>
        <v xml:space="preserve">  </v>
      </c>
      <c r="H36" s="170"/>
      <c r="P36" s="172">
        <v>46156</v>
      </c>
      <c r="AI36" s="236">
        <f t="shared" si="2"/>
        <v>0</v>
      </c>
      <c r="AJ36" s="218"/>
      <c r="AM36" s="275" t="s">
        <v>536</v>
      </c>
      <c r="AO36" s="178">
        <f t="shared" si="3"/>
        <v>0</v>
      </c>
      <c r="AP36" s="178" t="e">
        <f t="shared" si="4"/>
        <v>#VALUE!</v>
      </c>
      <c r="AQ36" s="237" t="str">
        <f t="shared" si="5"/>
        <v/>
      </c>
      <c r="AR36" s="220" t="s">
        <v>536</v>
      </c>
      <c r="AS36" s="345" t="s">
        <v>536</v>
      </c>
      <c r="AT36" s="221" t="s">
        <v>536</v>
      </c>
      <c r="AU36" s="221" t="s">
        <v>536</v>
      </c>
      <c r="AV36" s="221" t="s">
        <v>536</v>
      </c>
      <c r="AW36" s="221" t="s">
        <v>536</v>
      </c>
      <c r="AX36" s="222" t="s">
        <v>536</v>
      </c>
      <c r="BF36" s="241" t="str">
        <f t="shared" si="1"/>
        <v/>
      </c>
      <c r="BL36" s="241" t="str">
        <f t="shared" si="6"/>
        <v/>
      </c>
      <c r="BM36" s="241" t="str">
        <f t="shared" si="7"/>
        <v/>
      </c>
      <c r="BS36" s="247" t="str">
        <f t="shared" si="10"/>
        <v/>
      </c>
      <c r="BV36" s="242" t="str">
        <f t="shared" si="8"/>
        <v/>
      </c>
      <c r="BW36" s="248" t="str">
        <f t="shared" si="9"/>
        <v/>
      </c>
      <c r="CO36" s="228" t="s">
        <v>536</v>
      </c>
      <c r="CP36" s="228" t="s">
        <v>536</v>
      </c>
      <c r="CQ36" s="228" t="s">
        <v>536</v>
      </c>
      <c r="CR36" s="228" t="s">
        <v>536</v>
      </c>
    </row>
    <row r="37" spans="1:96" x14ac:dyDescent="0.3">
      <c r="A37" s="169">
        <v>35</v>
      </c>
      <c r="B37" s="169">
        <v>35</v>
      </c>
      <c r="G37" s="169" t="str">
        <f t="shared" si="0"/>
        <v xml:space="preserve">  </v>
      </c>
      <c r="H37" s="170"/>
      <c r="P37" s="172">
        <v>46156</v>
      </c>
      <c r="AI37" s="236">
        <f t="shared" si="2"/>
        <v>0</v>
      </c>
      <c r="AJ37" s="218"/>
      <c r="AM37" s="275" t="s">
        <v>536</v>
      </c>
      <c r="AO37" s="178">
        <f t="shared" si="3"/>
        <v>0</v>
      </c>
      <c r="AP37" s="178" t="e">
        <f t="shared" si="4"/>
        <v>#VALUE!</v>
      </c>
      <c r="AQ37" s="237" t="str">
        <f t="shared" si="5"/>
        <v/>
      </c>
      <c r="AR37" s="220" t="s">
        <v>536</v>
      </c>
      <c r="AS37" s="345" t="s">
        <v>536</v>
      </c>
      <c r="AT37" s="221" t="s">
        <v>536</v>
      </c>
      <c r="AU37" s="221" t="s">
        <v>536</v>
      </c>
      <c r="AV37" s="221" t="s">
        <v>536</v>
      </c>
      <c r="AW37" s="221" t="s">
        <v>536</v>
      </c>
      <c r="AX37" s="222" t="s">
        <v>536</v>
      </c>
      <c r="BF37" s="241" t="str">
        <f t="shared" si="1"/>
        <v/>
      </c>
      <c r="BL37" s="241" t="str">
        <f t="shared" si="6"/>
        <v/>
      </c>
      <c r="BM37" s="241" t="str">
        <f t="shared" si="7"/>
        <v/>
      </c>
      <c r="BS37" s="247" t="str">
        <f t="shared" si="10"/>
        <v/>
      </c>
      <c r="BV37" s="242" t="str">
        <f t="shared" si="8"/>
        <v/>
      </c>
      <c r="BW37" s="248" t="str">
        <f t="shared" si="9"/>
        <v/>
      </c>
      <c r="CO37" s="228" t="s">
        <v>536</v>
      </c>
      <c r="CP37" s="228" t="s">
        <v>536</v>
      </c>
      <c r="CQ37" s="228" t="s">
        <v>536</v>
      </c>
      <c r="CR37" s="228" t="s">
        <v>536</v>
      </c>
    </row>
    <row r="38" spans="1:96" x14ac:dyDescent="0.3">
      <c r="A38" s="169">
        <v>36</v>
      </c>
      <c r="B38" s="169">
        <v>36</v>
      </c>
      <c r="G38" s="169" t="str">
        <f t="shared" si="0"/>
        <v xml:space="preserve">  </v>
      </c>
      <c r="H38" s="170"/>
      <c r="P38" s="172">
        <v>46156</v>
      </c>
      <c r="AI38" s="236">
        <f t="shared" si="2"/>
        <v>0</v>
      </c>
      <c r="AJ38" s="218"/>
      <c r="AM38" s="275" t="s">
        <v>536</v>
      </c>
      <c r="AO38" s="178">
        <f t="shared" si="3"/>
        <v>0</v>
      </c>
      <c r="AP38" s="178" t="e">
        <f t="shared" si="4"/>
        <v>#VALUE!</v>
      </c>
      <c r="AQ38" s="237" t="str">
        <f t="shared" si="5"/>
        <v/>
      </c>
      <c r="AR38" s="220" t="s">
        <v>536</v>
      </c>
      <c r="AS38" s="345" t="s">
        <v>536</v>
      </c>
      <c r="AT38" s="221" t="s">
        <v>536</v>
      </c>
      <c r="AU38" s="221" t="s">
        <v>536</v>
      </c>
      <c r="AV38" s="221" t="s">
        <v>536</v>
      </c>
      <c r="AW38" s="221" t="s">
        <v>536</v>
      </c>
      <c r="AX38" s="222" t="s">
        <v>536</v>
      </c>
      <c r="BF38" s="241" t="str">
        <f t="shared" si="1"/>
        <v/>
      </c>
      <c r="BL38" s="241" t="str">
        <f t="shared" si="6"/>
        <v/>
      </c>
      <c r="BM38" s="241" t="str">
        <f t="shared" si="7"/>
        <v/>
      </c>
      <c r="BS38" s="247" t="str">
        <f t="shared" si="10"/>
        <v/>
      </c>
      <c r="BV38" s="242" t="str">
        <f t="shared" si="8"/>
        <v/>
      </c>
      <c r="BW38" s="248" t="str">
        <f t="shared" si="9"/>
        <v/>
      </c>
      <c r="CO38" s="228" t="s">
        <v>536</v>
      </c>
      <c r="CP38" s="228" t="s">
        <v>536</v>
      </c>
      <c r="CQ38" s="228" t="s">
        <v>536</v>
      </c>
      <c r="CR38" s="228" t="s">
        <v>536</v>
      </c>
    </row>
    <row r="39" spans="1:96" x14ac:dyDescent="0.3">
      <c r="A39" s="169">
        <v>37</v>
      </c>
      <c r="B39" s="169">
        <v>37</v>
      </c>
      <c r="G39" s="169" t="str">
        <f t="shared" si="0"/>
        <v xml:space="preserve">  </v>
      </c>
      <c r="H39" s="170"/>
      <c r="P39" s="172">
        <v>46156</v>
      </c>
      <c r="AI39" s="236">
        <f t="shared" si="2"/>
        <v>0</v>
      </c>
      <c r="AJ39" s="218"/>
      <c r="AM39" s="275" t="s">
        <v>536</v>
      </c>
      <c r="AO39" s="178">
        <f t="shared" si="3"/>
        <v>0</v>
      </c>
      <c r="AP39" s="178" t="e">
        <f t="shared" si="4"/>
        <v>#VALUE!</v>
      </c>
      <c r="AQ39" s="237" t="str">
        <f t="shared" si="5"/>
        <v/>
      </c>
      <c r="AR39" s="220" t="s">
        <v>536</v>
      </c>
      <c r="AS39" s="345" t="s">
        <v>536</v>
      </c>
      <c r="AT39" s="221" t="s">
        <v>536</v>
      </c>
      <c r="AU39" s="221" t="s">
        <v>536</v>
      </c>
      <c r="AV39" s="221" t="s">
        <v>536</v>
      </c>
      <c r="AW39" s="221" t="s">
        <v>536</v>
      </c>
      <c r="AX39" s="222" t="s">
        <v>536</v>
      </c>
      <c r="BF39" s="241" t="str">
        <f t="shared" si="1"/>
        <v/>
      </c>
      <c r="BL39" s="241" t="str">
        <f t="shared" si="6"/>
        <v/>
      </c>
      <c r="BM39" s="241" t="str">
        <f t="shared" si="7"/>
        <v/>
      </c>
      <c r="BS39" s="247" t="str">
        <f t="shared" si="10"/>
        <v/>
      </c>
      <c r="BV39" s="242" t="str">
        <f t="shared" si="8"/>
        <v/>
      </c>
      <c r="BW39" s="248" t="str">
        <f t="shared" si="9"/>
        <v/>
      </c>
      <c r="CO39" s="228" t="s">
        <v>536</v>
      </c>
      <c r="CP39" s="228" t="s">
        <v>536</v>
      </c>
      <c r="CQ39" s="228" t="s">
        <v>536</v>
      </c>
      <c r="CR39" s="228" t="s">
        <v>536</v>
      </c>
    </row>
    <row r="40" spans="1:96" x14ac:dyDescent="0.3">
      <c r="A40" s="169">
        <v>38</v>
      </c>
      <c r="B40" s="169">
        <v>38</v>
      </c>
      <c r="G40" s="169" t="str">
        <f t="shared" si="0"/>
        <v xml:space="preserve">  </v>
      </c>
      <c r="H40" s="170"/>
      <c r="P40" s="172">
        <v>46156</v>
      </c>
      <c r="AI40" s="236">
        <f t="shared" si="2"/>
        <v>0</v>
      </c>
      <c r="AJ40" s="218"/>
      <c r="AM40" s="275" t="s">
        <v>536</v>
      </c>
      <c r="AO40" s="178">
        <f t="shared" si="3"/>
        <v>0</v>
      </c>
      <c r="AP40" s="178" t="e">
        <f t="shared" si="4"/>
        <v>#VALUE!</v>
      </c>
      <c r="AQ40" s="237" t="str">
        <f t="shared" si="5"/>
        <v/>
      </c>
      <c r="AR40" s="220" t="s">
        <v>536</v>
      </c>
      <c r="AS40" s="345" t="s">
        <v>536</v>
      </c>
      <c r="AT40" s="221" t="s">
        <v>536</v>
      </c>
      <c r="AU40" s="221" t="s">
        <v>536</v>
      </c>
      <c r="AV40" s="221" t="s">
        <v>536</v>
      </c>
      <c r="AW40" s="221" t="s">
        <v>536</v>
      </c>
      <c r="AX40" s="222" t="s">
        <v>536</v>
      </c>
      <c r="BF40" s="241" t="str">
        <f t="shared" si="1"/>
        <v/>
      </c>
      <c r="BL40" s="241" t="str">
        <f t="shared" si="6"/>
        <v/>
      </c>
      <c r="BM40" s="241" t="str">
        <f t="shared" si="7"/>
        <v/>
      </c>
      <c r="BS40" s="247" t="str">
        <f t="shared" si="10"/>
        <v/>
      </c>
      <c r="BV40" s="242" t="str">
        <f t="shared" si="8"/>
        <v/>
      </c>
      <c r="BW40" s="248" t="str">
        <f t="shared" si="9"/>
        <v/>
      </c>
      <c r="CO40" s="228" t="s">
        <v>536</v>
      </c>
      <c r="CP40" s="228" t="s">
        <v>536</v>
      </c>
      <c r="CQ40" s="228" t="s">
        <v>536</v>
      </c>
      <c r="CR40" s="228" t="s">
        <v>536</v>
      </c>
    </row>
    <row r="41" spans="1:96" x14ac:dyDescent="0.3">
      <c r="A41" s="169">
        <v>39</v>
      </c>
      <c r="B41" s="169">
        <v>39</v>
      </c>
      <c r="G41" s="169" t="str">
        <f t="shared" si="0"/>
        <v xml:space="preserve">  </v>
      </c>
      <c r="H41" s="170"/>
      <c r="P41" s="172">
        <v>46156</v>
      </c>
      <c r="AI41" s="236">
        <f t="shared" si="2"/>
        <v>0</v>
      </c>
      <c r="AJ41" s="218"/>
      <c r="AM41" s="275" t="s">
        <v>536</v>
      </c>
      <c r="AO41" s="178">
        <f t="shared" si="3"/>
        <v>0</v>
      </c>
      <c r="AP41" s="178" t="e">
        <f t="shared" si="4"/>
        <v>#VALUE!</v>
      </c>
      <c r="AQ41" s="237" t="str">
        <f t="shared" si="5"/>
        <v/>
      </c>
      <c r="AR41" s="220" t="s">
        <v>536</v>
      </c>
      <c r="AS41" s="345" t="s">
        <v>536</v>
      </c>
      <c r="AT41" s="221" t="s">
        <v>536</v>
      </c>
      <c r="AU41" s="221" t="s">
        <v>536</v>
      </c>
      <c r="AV41" s="221" t="s">
        <v>536</v>
      </c>
      <c r="AW41" s="221" t="s">
        <v>536</v>
      </c>
      <c r="AX41" s="222" t="s">
        <v>536</v>
      </c>
      <c r="BF41" s="241" t="str">
        <f t="shared" si="1"/>
        <v/>
      </c>
      <c r="BL41" s="241" t="str">
        <f t="shared" si="6"/>
        <v/>
      </c>
      <c r="BM41" s="241" t="str">
        <f t="shared" si="7"/>
        <v/>
      </c>
      <c r="BS41" s="247" t="str">
        <f t="shared" si="10"/>
        <v/>
      </c>
      <c r="BV41" s="242" t="str">
        <f t="shared" si="8"/>
        <v/>
      </c>
      <c r="BW41" s="248" t="str">
        <f t="shared" si="9"/>
        <v/>
      </c>
      <c r="CO41" s="228" t="s">
        <v>536</v>
      </c>
      <c r="CP41" s="228" t="s">
        <v>536</v>
      </c>
      <c r="CQ41" s="228" t="s">
        <v>536</v>
      </c>
      <c r="CR41" s="228" t="s">
        <v>536</v>
      </c>
    </row>
    <row r="42" spans="1:96" x14ac:dyDescent="0.3">
      <c r="A42" s="169">
        <v>40</v>
      </c>
      <c r="B42" s="169">
        <v>40</v>
      </c>
      <c r="G42" s="169" t="str">
        <f t="shared" si="0"/>
        <v xml:space="preserve">  </v>
      </c>
      <c r="H42" s="170"/>
      <c r="P42" s="172">
        <v>46156</v>
      </c>
      <c r="AI42" s="236">
        <f t="shared" si="2"/>
        <v>0</v>
      </c>
      <c r="AJ42" s="218"/>
      <c r="AM42" s="275" t="s">
        <v>536</v>
      </c>
      <c r="AO42" s="178">
        <f t="shared" si="3"/>
        <v>0</v>
      </c>
      <c r="AP42" s="178" t="e">
        <f t="shared" si="4"/>
        <v>#VALUE!</v>
      </c>
      <c r="AQ42" s="237" t="str">
        <f t="shared" si="5"/>
        <v/>
      </c>
      <c r="AR42" s="220" t="s">
        <v>536</v>
      </c>
      <c r="AS42" s="345" t="s">
        <v>536</v>
      </c>
      <c r="AT42" s="221" t="s">
        <v>536</v>
      </c>
      <c r="AU42" s="221" t="s">
        <v>536</v>
      </c>
      <c r="AV42" s="221" t="s">
        <v>536</v>
      </c>
      <c r="AW42" s="221" t="s">
        <v>536</v>
      </c>
      <c r="AX42" s="222" t="s">
        <v>536</v>
      </c>
      <c r="BF42" s="241" t="str">
        <f t="shared" si="1"/>
        <v/>
      </c>
      <c r="BL42" s="241" t="str">
        <f t="shared" si="6"/>
        <v/>
      </c>
      <c r="BM42" s="241" t="str">
        <f t="shared" si="7"/>
        <v/>
      </c>
      <c r="BS42" s="247" t="str">
        <f t="shared" si="10"/>
        <v/>
      </c>
      <c r="BV42" s="242" t="str">
        <f t="shared" si="8"/>
        <v/>
      </c>
      <c r="BW42" s="248" t="str">
        <f t="shared" si="9"/>
        <v/>
      </c>
      <c r="CO42" s="228" t="s">
        <v>536</v>
      </c>
      <c r="CP42" s="228" t="s">
        <v>536</v>
      </c>
      <c r="CQ42" s="228" t="s">
        <v>536</v>
      </c>
      <c r="CR42" s="228" t="s">
        <v>536</v>
      </c>
    </row>
    <row r="43" spans="1:96" x14ac:dyDescent="0.3">
      <c r="A43" s="169">
        <v>41</v>
      </c>
      <c r="B43" s="169">
        <v>41</v>
      </c>
      <c r="G43" s="169" t="str">
        <f t="shared" si="0"/>
        <v xml:space="preserve">  </v>
      </c>
      <c r="H43" s="170"/>
      <c r="P43" s="172">
        <v>46156</v>
      </c>
      <c r="AI43" s="236">
        <f t="shared" si="2"/>
        <v>0</v>
      </c>
      <c r="AJ43" s="218"/>
      <c r="AM43" s="275" t="s">
        <v>536</v>
      </c>
      <c r="AO43" s="178">
        <f t="shared" si="3"/>
        <v>0</v>
      </c>
      <c r="AP43" s="178" t="e">
        <f t="shared" si="4"/>
        <v>#VALUE!</v>
      </c>
      <c r="AQ43" s="237" t="str">
        <f t="shared" si="5"/>
        <v/>
      </c>
      <c r="AR43" s="220" t="s">
        <v>536</v>
      </c>
      <c r="AS43" s="345" t="s">
        <v>536</v>
      </c>
      <c r="AT43" s="221" t="s">
        <v>536</v>
      </c>
      <c r="AU43" s="221" t="s">
        <v>536</v>
      </c>
      <c r="AV43" s="221" t="s">
        <v>536</v>
      </c>
      <c r="AW43" s="221" t="s">
        <v>536</v>
      </c>
      <c r="AX43" s="222" t="s">
        <v>536</v>
      </c>
      <c r="BF43" s="241" t="str">
        <f t="shared" si="1"/>
        <v/>
      </c>
      <c r="BL43" s="241" t="str">
        <f t="shared" si="6"/>
        <v/>
      </c>
      <c r="BM43" s="241" t="str">
        <f t="shared" si="7"/>
        <v/>
      </c>
      <c r="BS43" s="247" t="str">
        <f t="shared" si="10"/>
        <v/>
      </c>
      <c r="BV43" s="242" t="str">
        <f t="shared" si="8"/>
        <v/>
      </c>
      <c r="BW43" s="248" t="str">
        <f t="shared" si="9"/>
        <v/>
      </c>
      <c r="CO43" s="228" t="s">
        <v>536</v>
      </c>
      <c r="CP43" s="228" t="s">
        <v>536</v>
      </c>
      <c r="CQ43" s="228" t="s">
        <v>536</v>
      </c>
      <c r="CR43" s="228" t="s">
        <v>536</v>
      </c>
    </row>
    <row r="44" spans="1:96" x14ac:dyDescent="0.3">
      <c r="A44" s="169">
        <v>42</v>
      </c>
      <c r="B44" s="169">
        <v>42</v>
      </c>
      <c r="G44" s="169" t="str">
        <f t="shared" si="0"/>
        <v xml:space="preserve">  </v>
      </c>
      <c r="H44" s="170"/>
      <c r="P44" s="172">
        <v>46156</v>
      </c>
      <c r="AI44" s="236">
        <f t="shared" si="2"/>
        <v>0</v>
      </c>
      <c r="AJ44" s="218"/>
      <c r="AM44" s="275" t="s">
        <v>536</v>
      </c>
      <c r="AO44" s="178">
        <f t="shared" si="3"/>
        <v>0</v>
      </c>
      <c r="AP44" s="178" t="e">
        <f t="shared" si="4"/>
        <v>#VALUE!</v>
      </c>
      <c r="AQ44" s="237" t="str">
        <f t="shared" si="5"/>
        <v/>
      </c>
      <c r="AR44" s="220" t="s">
        <v>536</v>
      </c>
      <c r="AS44" s="345" t="s">
        <v>536</v>
      </c>
      <c r="AT44" s="221" t="s">
        <v>536</v>
      </c>
      <c r="AU44" s="221" t="s">
        <v>536</v>
      </c>
      <c r="AV44" s="221" t="s">
        <v>536</v>
      </c>
      <c r="AW44" s="221" t="s">
        <v>536</v>
      </c>
      <c r="AX44" s="222" t="s">
        <v>536</v>
      </c>
      <c r="BF44" s="241" t="str">
        <f t="shared" si="1"/>
        <v/>
      </c>
      <c r="BL44" s="241" t="str">
        <f t="shared" si="6"/>
        <v/>
      </c>
      <c r="BM44" s="241" t="str">
        <f t="shared" si="7"/>
        <v/>
      </c>
      <c r="BS44" s="247" t="str">
        <f t="shared" si="10"/>
        <v/>
      </c>
      <c r="BV44" s="242" t="str">
        <f t="shared" si="8"/>
        <v/>
      </c>
      <c r="BW44" s="248" t="str">
        <f t="shared" si="9"/>
        <v/>
      </c>
      <c r="CO44" s="228" t="s">
        <v>536</v>
      </c>
      <c r="CP44" s="228" t="s">
        <v>536</v>
      </c>
      <c r="CQ44" s="228" t="s">
        <v>536</v>
      </c>
      <c r="CR44" s="228" t="s">
        <v>536</v>
      </c>
    </row>
    <row r="45" spans="1:96" x14ac:dyDescent="0.3">
      <c r="A45" s="169">
        <v>43</v>
      </c>
      <c r="B45" s="169">
        <v>43</v>
      </c>
      <c r="G45" s="169" t="str">
        <f t="shared" si="0"/>
        <v xml:space="preserve">  </v>
      </c>
      <c r="H45" s="170"/>
      <c r="AI45" s="236">
        <f t="shared" si="2"/>
        <v>0</v>
      </c>
      <c r="AJ45" s="218"/>
      <c r="AM45" s="275" t="s">
        <v>536</v>
      </c>
      <c r="AO45" s="178">
        <f t="shared" si="3"/>
        <v>0</v>
      </c>
      <c r="AP45" s="178" t="e">
        <f t="shared" si="4"/>
        <v>#VALUE!</v>
      </c>
      <c r="AQ45" s="237" t="str">
        <f t="shared" si="5"/>
        <v/>
      </c>
      <c r="AR45" s="220" t="s">
        <v>536</v>
      </c>
      <c r="AS45" s="345" t="s">
        <v>536</v>
      </c>
      <c r="AT45" s="221" t="s">
        <v>536</v>
      </c>
      <c r="AU45" s="221" t="s">
        <v>536</v>
      </c>
      <c r="AV45" s="221" t="s">
        <v>536</v>
      </c>
      <c r="AW45" s="221" t="s">
        <v>536</v>
      </c>
      <c r="AX45" s="222" t="s">
        <v>536</v>
      </c>
      <c r="BF45" s="241" t="str">
        <f t="shared" si="1"/>
        <v/>
      </c>
      <c r="BL45" s="241" t="str">
        <f t="shared" si="6"/>
        <v/>
      </c>
      <c r="BM45" s="241" t="str">
        <f t="shared" si="7"/>
        <v/>
      </c>
      <c r="BS45" s="247" t="str">
        <f t="shared" si="10"/>
        <v/>
      </c>
      <c r="BV45" s="242" t="str">
        <f t="shared" si="8"/>
        <v/>
      </c>
      <c r="BW45" s="248" t="str">
        <f t="shared" si="9"/>
        <v/>
      </c>
      <c r="CO45" s="228" t="s">
        <v>536</v>
      </c>
      <c r="CP45" s="228" t="s">
        <v>536</v>
      </c>
      <c r="CQ45" s="228" t="s">
        <v>536</v>
      </c>
      <c r="CR45" s="228" t="s">
        <v>536</v>
      </c>
    </row>
    <row r="46" spans="1:96" x14ac:dyDescent="0.3">
      <c r="A46" s="169">
        <v>44</v>
      </c>
      <c r="B46" s="169">
        <v>44</v>
      </c>
      <c r="G46" s="169" t="str">
        <f t="shared" si="0"/>
        <v xml:space="preserve">  </v>
      </c>
      <c r="H46" s="170"/>
      <c r="AI46" s="236">
        <f t="shared" si="2"/>
        <v>0</v>
      </c>
      <c r="AJ46" s="218"/>
      <c r="AM46" s="275" t="s">
        <v>536</v>
      </c>
      <c r="AO46" s="178">
        <f t="shared" si="3"/>
        <v>0</v>
      </c>
      <c r="AP46" s="178" t="e">
        <f t="shared" si="4"/>
        <v>#VALUE!</v>
      </c>
      <c r="AQ46" s="237" t="str">
        <f t="shared" si="5"/>
        <v/>
      </c>
      <c r="AR46" s="220" t="s">
        <v>536</v>
      </c>
      <c r="AS46" s="345" t="s">
        <v>536</v>
      </c>
      <c r="AT46" s="221" t="s">
        <v>536</v>
      </c>
      <c r="AU46" s="221" t="s">
        <v>536</v>
      </c>
      <c r="AV46" s="221" t="s">
        <v>536</v>
      </c>
      <c r="AW46" s="221" t="s">
        <v>536</v>
      </c>
      <c r="AX46" s="222" t="s">
        <v>536</v>
      </c>
      <c r="BF46" s="241" t="str">
        <f t="shared" si="1"/>
        <v/>
      </c>
      <c r="BL46" s="241" t="str">
        <f t="shared" si="6"/>
        <v/>
      </c>
      <c r="BM46" s="241" t="str">
        <f t="shared" si="7"/>
        <v/>
      </c>
      <c r="BS46" s="247" t="str">
        <f t="shared" si="10"/>
        <v/>
      </c>
      <c r="BV46" s="242" t="str">
        <f t="shared" si="8"/>
        <v/>
      </c>
      <c r="BW46" s="248" t="str">
        <f t="shared" si="9"/>
        <v/>
      </c>
      <c r="CO46" s="228" t="s">
        <v>536</v>
      </c>
      <c r="CP46" s="228" t="s">
        <v>536</v>
      </c>
      <c r="CQ46" s="228" t="s">
        <v>536</v>
      </c>
      <c r="CR46" s="228" t="s">
        <v>536</v>
      </c>
    </row>
    <row r="47" spans="1:96" x14ac:dyDescent="0.3">
      <c r="A47" s="169">
        <v>45</v>
      </c>
      <c r="B47" s="169">
        <v>45</v>
      </c>
      <c r="G47" s="169" t="str">
        <f t="shared" si="0"/>
        <v xml:space="preserve">  </v>
      </c>
      <c r="H47" s="170"/>
      <c r="AI47" s="236">
        <f t="shared" si="2"/>
        <v>0</v>
      </c>
      <c r="AJ47" s="218"/>
      <c r="AM47" s="275" t="s">
        <v>536</v>
      </c>
      <c r="AO47" s="178">
        <f t="shared" si="3"/>
        <v>0</v>
      </c>
      <c r="AP47" s="178" t="e">
        <f t="shared" si="4"/>
        <v>#VALUE!</v>
      </c>
      <c r="AQ47" s="237" t="str">
        <f t="shared" si="5"/>
        <v/>
      </c>
      <c r="AR47" s="220" t="s">
        <v>536</v>
      </c>
      <c r="AS47" s="345" t="s">
        <v>536</v>
      </c>
      <c r="AT47" s="221" t="s">
        <v>536</v>
      </c>
      <c r="AU47" s="221" t="s">
        <v>536</v>
      </c>
      <c r="AV47" s="221" t="s">
        <v>536</v>
      </c>
      <c r="AW47" s="221" t="s">
        <v>536</v>
      </c>
      <c r="AX47" s="222" t="s">
        <v>536</v>
      </c>
      <c r="BF47" s="241" t="str">
        <f t="shared" si="1"/>
        <v/>
      </c>
      <c r="BL47" s="241" t="str">
        <f t="shared" si="6"/>
        <v/>
      </c>
      <c r="BM47" s="241" t="str">
        <f t="shared" si="7"/>
        <v/>
      </c>
      <c r="BS47" s="247" t="str">
        <f t="shared" si="10"/>
        <v/>
      </c>
      <c r="BV47" s="242" t="str">
        <f t="shared" si="8"/>
        <v/>
      </c>
      <c r="BW47" s="248" t="str">
        <f t="shared" si="9"/>
        <v/>
      </c>
      <c r="CO47" s="228" t="s">
        <v>536</v>
      </c>
      <c r="CP47" s="228" t="s">
        <v>536</v>
      </c>
      <c r="CQ47" s="228" t="s">
        <v>536</v>
      </c>
      <c r="CR47" s="228" t="s">
        <v>536</v>
      </c>
    </row>
    <row r="48" spans="1:96" x14ac:dyDescent="0.3">
      <c r="A48" s="169">
        <v>46</v>
      </c>
      <c r="B48" s="169">
        <v>46</v>
      </c>
      <c r="G48" s="169" t="str">
        <f t="shared" si="0"/>
        <v xml:space="preserve">  </v>
      </c>
      <c r="H48" s="170"/>
      <c r="AI48" s="236">
        <f t="shared" si="2"/>
        <v>0</v>
      </c>
      <c r="AJ48" s="218"/>
      <c r="AM48" s="275" t="s">
        <v>536</v>
      </c>
      <c r="AO48" s="178">
        <f t="shared" si="3"/>
        <v>0</v>
      </c>
      <c r="AP48" s="178" t="e">
        <f t="shared" si="4"/>
        <v>#VALUE!</v>
      </c>
      <c r="AQ48" s="237" t="str">
        <f t="shared" si="5"/>
        <v/>
      </c>
      <c r="AR48" s="220" t="s">
        <v>536</v>
      </c>
      <c r="AS48" s="345" t="s">
        <v>536</v>
      </c>
      <c r="AT48" s="221" t="s">
        <v>536</v>
      </c>
      <c r="AU48" s="221" t="s">
        <v>536</v>
      </c>
      <c r="AV48" s="221" t="s">
        <v>536</v>
      </c>
      <c r="AW48" s="221" t="s">
        <v>536</v>
      </c>
      <c r="AX48" s="222" t="s">
        <v>536</v>
      </c>
      <c r="BF48" s="241" t="str">
        <f t="shared" si="1"/>
        <v/>
      </c>
      <c r="BL48" s="241" t="str">
        <f t="shared" si="6"/>
        <v/>
      </c>
      <c r="BM48" s="241" t="str">
        <f t="shared" si="7"/>
        <v/>
      </c>
      <c r="BS48" s="247" t="str">
        <f t="shared" si="10"/>
        <v/>
      </c>
      <c r="BV48" s="242" t="str">
        <f t="shared" si="8"/>
        <v/>
      </c>
      <c r="BW48" s="248" t="str">
        <f t="shared" si="9"/>
        <v/>
      </c>
      <c r="CO48" s="228" t="s">
        <v>536</v>
      </c>
      <c r="CP48" s="228" t="s">
        <v>536</v>
      </c>
      <c r="CQ48" s="228" t="s">
        <v>536</v>
      </c>
      <c r="CR48" s="228" t="s">
        <v>536</v>
      </c>
    </row>
    <row r="49" spans="1:96" x14ac:dyDescent="0.3">
      <c r="A49" s="169">
        <v>47</v>
      </c>
      <c r="B49" s="169">
        <v>47</v>
      </c>
      <c r="G49" s="169" t="str">
        <f t="shared" si="0"/>
        <v xml:space="preserve">  </v>
      </c>
      <c r="H49" s="170"/>
      <c r="AI49" s="236">
        <f t="shared" si="2"/>
        <v>0</v>
      </c>
      <c r="AJ49" s="218"/>
      <c r="AM49" s="275" t="s">
        <v>536</v>
      </c>
      <c r="AO49" s="178">
        <f t="shared" si="3"/>
        <v>0</v>
      </c>
      <c r="AP49" s="178" t="e">
        <f t="shared" si="4"/>
        <v>#VALUE!</v>
      </c>
      <c r="AQ49" s="237" t="str">
        <f t="shared" si="5"/>
        <v/>
      </c>
      <c r="AR49" s="220" t="s">
        <v>536</v>
      </c>
      <c r="AS49" s="345" t="s">
        <v>536</v>
      </c>
      <c r="AT49" s="221" t="s">
        <v>536</v>
      </c>
      <c r="AU49" s="221" t="s">
        <v>536</v>
      </c>
      <c r="AV49" s="221" t="s">
        <v>536</v>
      </c>
      <c r="AW49" s="221" t="s">
        <v>536</v>
      </c>
      <c r="AX49" s="222" t="s">
        <v>536</v>
      </c>
      <c r="BF49" s="241" t="str">
        <f t="shared" si="1"/>
        <v/>
      </c>
      <c r="BL49" s="241" t="str">
        <f t="shared" si="6"/>
        <v/>
      </c>
      <c r="BM49" s="241" t="str">
        <f t="shared" si="7"/>
        <v/>
      </c>
      <c r="BS49" s="247" t="str">
        <f t="shared" si="10"/>
        <v/>
      </c>
      <c r="BV49" s="242" t="str">
        <f t="shared" si="8"/>
        <v/>
      </c>
      <c r="BW49" s="248" t="str">
        <f t="shared" si="9"/>
        <v/>
      </c>
      <c r="CO49" s="228" t="s">
        <v>536</v>
      </c>
      <c r="CP49" s="228" t="s">
        <v>536</v>
      </c>
      <c r="CQ49" s="228" t="s">
        <v>536</v>
      </c>
      <c r="CR49" s="228" t="s">
        <v>536</v>
      </c>
    </row>
    <row r="50" spans="1:96" x14ac:dyDescent="0.3">
      <c r="A50" s="169">
        <v>48</v>
      </c>
      <c r="B50" s="169">
        <v>48</v>
      </c>
      <c r="G50" s="169" t="str">
        <f t="shared" si="0"/>
        <v xml:space="preserve">  </v>
      </c>
      <c r="H50" s="170"/>
      <c r="AI50" s="236">
        <f t="shared" si="2"/>
        <v>0</v>
      </c>
      <c r="AJ50" s="218"/>
      <c r="AM50" s="275" t="s">
        <v>536</v>
      </c>
      <c r="AO50" s="178">
        <f t="shared" si="3"/>
        <v>0</v>
      </c>
      <c r="AP50" s="178" t="e">
        <f t="shared" si="4"/>
        <v>#VALUE!</v>
      </c>
      <c r="AQ50" s="237" t="str">
        <f t="shared" si="5"/>
        <v/>
      </c>
      <c r="AR50" s="220" t="s">
        <v>536</v>
      </c>
      <c r="AS50" s="345" t="s">
        <v>536</v>
      </c>
      <c r="AT50" s="221" t="s">
        <v>536</v>
      </c>
      <c r="AU50" s="221" t="s">
        <v>536</v>
      </c>
      <c r="AV50" s="221" t="s">
        <v>536</v>
      </c>
      <c r="AW50" s="221" t="s">
        <v>536</v>
      </c>
      <c r="AX50" s="222" t="s">
        <v>536</v>
      </c>
      <c r="BF50" s="241" t="str">
        <f t="shared" si="1"/>
        <v/>
      </c>
      <c r="BL50" s="241" t="str">
        <f t="shared" si="6"/>
        <v/>
      </c>
      <c r="BM50" s="241" t="str">
        <f t="shared" si="7"/>
        <v/>
      </c>
      <c r="BS50" s="247" t="str">
        <f t="shared" si="10"/>
        <v/>
      </c>
      <c r="BV50" s="242" t="str">
        <f t="shared" si="8"/>
        <v/>
      </c>
      <c r="BW50" s="248" t="str">
        <f t="shared" si="9"/>
        <v/>
      </c>
      <c r="CO50" s="228" t="s">
        <v>536</v>
      </c>
      <c r="CP50" s="228" t="s">
        <v>536</v>
      </c>
      <c r="CQ50" s="228" t="s">
        <v>536</v>
      </c>
      <c r="CR50" s="228" t="s">
        <v>536</v>
      </c>
    </row>
    <row r="51" spans="1:96" x14ac:dyDescent="0.3">
      <c r="A51" s="169">
        <v>49</v>
      </c>
      <c r="B51" s="169">
        <v>49</v>
      </c>
      <c r="G51" s="169" t="str">
        <f t="shared" si="0"/>
        <v xml:space="preserve">  </v>
      </c>
      <c r="H51" s="170"/>
      <c r="AI51" s="236">
        <f t="shared" si="2"/>
        <v>0</v>
      </c>
      <c r="AJ51" s="218"/>
      <c r="AM51" s="275" t="s">
        <v>536</v>
      </c>
      <c r="AO51" s="178">
        <f t="shared" si="3"/>
        <v>0</v>
      </c>
      <c r="AP51" s="178" t="e">
        <f t="shared" si="4"/>
        <v>#VALUE!</v>
      </c>
      <c r="AQ51" s="237" t="str">
        <f t="shared" si="5"/>
        <v/>
      </c>
      <c r="AR51" s="220" t="s">
        <v>536</v>
      </c>
      <c r="AS51" s="345" t="s">
        <v>536</v>
      </c>
      <c r="AT51" s="221" t="s">
        <v>536</v>
      </c>
      <c r="AU51" s="221" t="s">
        <v>536</v>
      </c>
      <c r="AV51" s="221" t="s">
        <v>536</v>
      </c>
      <c r="AW51" s="221" t="s">
        <v>536</v>
      </c>
      <c r="AX51" s="222" t="s">
        <v>536</v>
      </c>
      <c r="BF51" s="241" t="str">
        <f t="shared" si="1"/>
        <v/>
      </c>
      <c r="BL51" s="241" t="str">
        <f t="shared" si="6"/>
        <v/>
      </c>
      <c r="BM51" s="241" t="str">
        <f t="shared" si="7"/>
        <v/>
      </c>
      <c r="BS51" s="247" t="str">
        <f t="shared" si="10"/>
        <v/>
      </c>
      <c r="BV51" s="242" t="str">
        <f t="shared" si="8"/>
        <v/>
      </c>
      <c r="BW51" s="248" t="str">
        <f t="shared" si="9"/>
        <v/>
      </c>
      <c r="CO51" s="228" t="s">
        <v>536</v>
      </c>
      <c r="CP51" s="228" t="s">
        <v>536</v>
      </c>
      <c r="CQ51" s="228" t="s">
        <v>536</v>
      </c>
      <c r="CR51" s="228" t="s">
        <v>536</v>
      </c>
    </row>
    <row r="52" spans="1:96" x14ac:dyDescent="0.3">
      <c r="A52" s="169">
        <v>50</v>
      </c>
      <c r="B52" s="169">
        <v>50</v>
      </c>
      <c r="G52" s="169" t="str">
        <f t="shared" si="0"/>
        <v xml:space="preserve">  </v>
      </c>
      <c r="H52" s="170"/>
      <c r="AI52" s="236">
        <f t="shared" si="2"/>
        <v>0</v>
      </c>
      <c r="AJ52" s="218"/>
      <c r="AM52" s="275" t="s">
        <v>536</v>
      </c>
      <c r="AO52" s="178">
        <f t="shared" si="3"/>
        <v>0</v>
      </c>
      <c r="AP52" s="178" t="e">
        <f t="shared" si="4"/>
        <v>#VALUE!</v>
      </c>
      <c r="AQ52" s="237" t="str">
        <f t="shared" si="5"/>
        <v/>
      </c>
      <c r="AR52" s="220" t="s">
        <v>536</v>
      </c>
      <c r="AS52" s="345" t="s">
        <v>536</v>
      </c>
      <c r="AT52" s="221" t="s">
        <v>536</v>
      </c>
      <c r="AU52" s="221" t="s">
        <v>536</v>
      </c>
      <c r="AV52" s="221" t="s">
        <v>536</v>
      </c>
      <c r="AW52" s="221" t="s">
        <v>536</v>
      </c>
      <c r="AX52" s="222" t="s">
        <v>536</v>
      </c>
      <c r="BF52" s="241" t="str">
        <f t="shared" si="1"/>
        <v/>
      </c>
      <c r="BL52" s="241" t="str">
        <f t="shared" si="6"/>
        <v/>
      </c>
      <c r="BM52" s="241" t="str">
        <f t="shared" si="7"/>
        <v/>
      </c>
      <c r="BS52" s="247" t="str">
        <f t="shared" si="10"/>
        <v/>
      </c>
      <c r="BV52" s="242" t="str">
        <f t="shared" si="8"/>
        <v/>
      </c>
      <c r="BW52" s="248" t="str">
        <f t="shared" si="9"/>
        <v/>
      </c>
      <c r="CO52" s="228" t="s">
        <v>536</v>
      </c>
      <c r="CP52" s="228" t="s">
        <v>536</v>
      </c>
      <c r="CQ52" s="228" t="s">
        <v>536</v>
      </c>
      <c r="CR52" s="228" t="s">
        <v>536</v>
      </c>
    </row>
    <row r="53" spans="1:96" x14ac:dyDescent="0.3">
      <c r="A53" s="169">
        <v>51</v>
      </c>
      <c r="B53" s="169">
        <v>51</v>
      </c>
      <c r="G53" s="169" t="str">
        <f t="shared" si="0"/>
        <v xml:space="preserve">  </v>
      </c>
      <c r="H53" s="170"/>
      <c r="AI53" s="236">
        <f t="shared" si="2"/>
        <v>0</v>
      </c>
      <c r="AJ53" s="218"/>
      <c r="AM53" s="275" t="s">
        <v>536</v>
      </c>
      <c r="AO53" s="178">
        <f t="shared" si="3"/>
        <v>0</v>
      </c>
      <c r="AP53" s="178" t="e">
        <f t="shared" si="4"/>
        <v>#VALUE!</v>
      </c>
      <c r="AQ53" s="237" t="str">
        <f t="shared" si="5"/>
        <v/>
      </c>
      <c r="AR53" s="220" t="s">
        <v>536</v>
      </c>
      <c r="AS53" s="345" t="s">
        <v>536</v>
      </c>
      <c r="AT53" s="221" t="s">
        <v>536</v>
      </c>
      <c r="AU53" s="221" t="s">
        <v>536</v>
      </c>
      <c r="AV53" s="221" t="s">
        <v>536</v>
      </c>
      <c r="AW53" s="221" t="s">
        <v>536</v>
      </c>
      <c r="AX53" s="222" t="s">
        <v>536</v>
      </c>
      <c r="BF53" s="241" t="str">
        <f t="shared" si="1"/>
        <v/>
      </c>
      <c r="BL53" s="241" t="str">
        <f t="shared" si="6"/>
        <v/>
      </c>
      <c r="BM53" s="241" t="str">
        <f t="shared" si="7"/>
        <v/>
      </c>
      <c r="BS53" s="247" t="str">
        <f t="shared" si="10"/>
        <v/>
      </c>
      <c r="BV53" s="242" t="str">
        <f t="shared" si="8"/>
        <v/>
      </c>
      <c r="BW53" s="248" t="str">
        <f t="shared" si="9"/>
        <v/>
      </c>
      <c r="CO53" s="228" t="s">
        <v>536</v>
      </c>
      <c r="CP53" s="228" t="s">
        <v>536</v>
      </c>
      <c r="CQ53" s="228" t="s">
        <v>536</v>
      </c>
      <c r="CR53" s="228" t="s">
        <v>536</v>
      </c>
    </row>
    <row r="54" spans="1:96" x14ac:dyDescent="0.3">
      <c r="A54" s="169">
        <v>52</v>
      </c>
      <c r="B54" s="169">
        <v>52</v>
      </c>
      <c r="G54" s="169" t="str">
        <f t="shared" si="0"/>
        <v xml:space="preserve">  </v>
      </c>
      <c r="H54" s="170"/>
      <c r="AI54" s="236">
        <f t="shared" si="2"/>
        <v>0</v>
      </c>
      <c r="AJ54" s="218"/>
      <c r="AM54" s="275" t="s">
        <v>536</v>
      </c>
      <c r="AO54" s="178">
        <f t="shared" si="3"/>
        <v>0</v>
      </c>
      <c r="AP54" s="178" t="e">
        <f t="shared" si="4"/>
        <v>#VALUE!</v>
      </c>
      <c r="AQ54" s="237" t="str">
        <f t="shared" si="5"/>
        <v/>
      </c>
      <c r="AR54" s="220" t="s">
        <v>536</v>
      </c>
      <c r="AS54" s="345" t="s">
        <v>536</v>
      </c>
      <c r="AT54" s="221" t="s">
        <v>536</v>
      </c>
      <c r="AU54" s="221" t="s">
        <v>536</v>
      </c>
      <c r="AV54" s="221" t="s">
        <v>536</v>
      </c>
      <c r="AW54" s="221" t="s">
        <v>536</v>
      </c>
      <c r="AX54" s="222" t="s">
        <v>536</v>
      </c>
      <c r="BF54" s="241" t="str">
        <f t="shared" si="1"/>
        <v/>
      </c>
      <c r="BL54" s="241" t="str">
        <f t="shared" si="6"/>
        <v/>
      </c>
      <c r="BM54" s="241" t="str">
        <f t="shared" si="7"/>
        <v/>
      </c>
      <c r="BS54" s="247" t="str">
        <f t="shared" si="10"/>
        <v/>
      </c>
      <c r="BV54" s="242" t="str">
        <f t="shared" si="8"/>
        <v/>
      </c>
      <c r="BW54" s="248" t="str">
        <f t="shared" si="9"/>
        <v/>
      </c>
      <c r="CO54" s="228" t="s">
        <v>536</v>
      </c>
      <c r="CP54" s="228" t="s">
        <v>536</v>
      </c>
      <c r="CQ54" s="228" t="s">
        <v>536</v>
      </c>
      <c r="CR54" s="228" t="s">
        <v>536</v>
      </c>
    </row>
    <row r="55" spans="1:96" x14ac:dyDescent="0.3">
      <c r="A55" s="169">
        <v>53</v>
      </c>
      <c r="B55" s="169">
        <v>53</v>
      </c>
      <c r="G55" s="169" t="str">
        <f t="shared" si="0"/>
        <v xml:space="preserve">  </v>
      </c>
      <c r="H55" s="170"/>
      <c r="AI55" s="236">
        <f t="shared" si="2"/>
        <v>0</v>
      </c>
      <c r="AJ55" s="218"/>
      <c r="AM55" s="275" t="s">
        <v>536</v>
      </c>
      <c r="AO55" s="178">
        <f t="shared" si="3"/>
        <v>0</v>
      </c>
      <c r="AP55" s="178" t="e">
        <f t="shared" si="4"/>
        <v>#VALUE!</v>
      </c>
      <c r="AQ55" s="237" t="str">
        <f t="shared" si="5"/>
        <v/>
      </c>
      <c r="AR55" s="220" t="s">
        <v>536</v>
      </c>
      <c r="AS55" s="345" t="s">
        <v>536</v>
      </c>
      <c r="AT55" s="221" t="s">
        <v>536</v>
      </c>
      <c r="AU55" s="221" t="s">
        <v>536</v>
      </c>
      <c r="AV55" s="221" t="s">
        <v>536</v>
      </c>
      <c r="AW55" s="221" t="s">
        <v>536</v>
      </c>
      <c r="AX55" s="222" t="s">
        <v>536</v>
      </c>
      <c r="BF55" s="241" t="str">
        <f t="shared" si="1"/>
        <v/>
      </c>
      <c r="BL55" s="241" t="str">
        <f t="shared" si="6"/>
        <v/>
      </c>
      <c r="BM55" s="241" t="str">
        <f t="shared" si="7"/>
        <v/>
      </c>
      <c r="BS55" s="247" t="str">
        <f t="shared" si="10"/>
        <v/>
      </c>
      <c r="BV55" s="242" t="str">
        <f t="shared" si="8"/>
        <v/>
      </c>
      <c r="BW55" s="248" t="str">
        <f t="shared" si="9"/>
        <v/>
      </c>
      <c r="CO55" s="228" t="s">
        <v>536</v>
      </c>
      <c r="CP55" s="228" t="s">
        <v>536</v>
      </c>
      <c r="CQ55" s="228" t="s">
        <v>536</v>
      </c>
      <c r="CR55" s="228" t="s">
        <v>536</v>
      </c>
    </row>
    <row r="56" spans="1:96" x14ac:dyDescent="0.3">
      <c r="A56" s="169">
        <v>54</v>
      </c>
      <c r="B56" s="169">
        <v>54</v>
      </c>
      <c r="G56" s="169" t="str">
        <f t="shared" si="0"/>
        <v xml:space="preserve">  </v>
      </c>
      <c r="H56" s="170"/>
      <c r="AI56" s="236">
        <f t="shared" si="2"/>
        <v>0</v>
      </c>
      <c r="AJ56" s="218"/>
      <c r="AM56" s="275" t="s">
        <v>536</v>
      </c>
      <c r="AO56" s="178">
        <f t="shared" si="3"/>
        <v>0</v>
      </c>
      <c r="AP56" s="178" t="e">
        <f t="shared" si="4"/>
        <v>#VALUE!</v>
      </c>
      <c r="AQ56" s="237" t="str">
        <f t="shared" si="5"/>
        <v/>
      </c>
      <c r="AR56" s="220" t="s">
        <v>536</v>
      </c>
      <c r="AS56" s="345" t="s">
        <v>536</v>
      </c>
      <c r="AT56" s="221" t="s">
        <v>536</v>
      </c>
      <c r="AU56" s="221" t="s">
        <v>536</v>
      </c>
      <c r="AV56" s="221" t="s">
        <v>536</v>
      </c>
      <c r="AW56" s="221" t="s">
        <v>536</v>
      </c>
      <c r="AX56" s="222" t="s">
        <v>536</v>
      </c>
      <c r="BF56" s="241" t="str">
        <f t="shared" si="1"/>
        <v/>
      </c>
      <c r="BL56" s="241" t="str">
        <f t="shared" si="6"/>
        <v/>
      </c>
      <c r="BM56" s="241" t="str">
        <f t="shared" si="7"/>
        <v/>
      </c>
      <c r="BS56" s="247" t="str">
        <f t="shared" si="10"/>
        <v/>
      </c>
      <c r="BV56" s="242" t="str">
        <f t="shared" si="8"/>
        <v/>
      </c>
      <c r="BW56" s="248" t="str">
        <f t="shared" si="9"/>
        <v/>
      </c>
      <c r="CO56" s="228" t="s">
        <v>536</v>
      </c>
      <c r="CP56" s="228" t="s">
        <v>536</v>
      </c>
      <c r="CQ56" s="228" t="s">
        <v>536</v>
      </c>
      <c r="CR56" s="228" t="s">
        <v>536</v>
      </c>
    </row>
    <row r="57" spans="1:96" x14ac:dyDescent="0.3">
      <c r="A57" s="169">
        <v>55</v>
      </c>
      <c r="B57" s="169">
        <v>55</v>
      </c>
      <c r="G57" s="169" t="str">
        <f t="shared" si="0"/>
        <v xml:space="preserve">  </v>
      </c>
      <c r="H57" s="170"/>
      <c r="AI57" s="236">
        <f t="shared" si="2"/>
        <v>0</v>
      </c>
      <c r="AJ57" s="218"/>
      <c r="AM57" s="275" t="s">
        <v>536</v>
      </c>
      <c r="AO57" s="178">
        <f t="shared" si="3"/>
        <v>0</v>
      </c>
      <c r="AP57" s="178" t="e">
        <f t="shared" si="4"/>
        <v>#VALUE!</v>
      </c>
      <c r="AQ57" s="237" t="str">
        <f t="shared" si="5"/>
        <v/>
      </c>
      <c r="AR57" s="220" t="s">
        <v>536</v>
      </c>
      <c r="AS57" s="345" t="s">
        <v>536</v>
      </c>
      <c r="AT57" s="221" t="s">
        <v>536</v>
      </c>
      <c r="AU57" s="221" t="s">
        <v>536</v>
      </c>
      <c r="AV57" s="221" t="s">
        <v>536</v>
      </c>
      <c r="AW57" s="221" t="s">
        <v>536</v>
      </c>
      <c r="AX57" s="222" t="s">
        <v>536</v>
      </c>
      <c r="BF57" s="241" t="str">
        <f t="shared" si="1"/>
        <v/>
      </c>
      <c r="BL57" s="241" t="str">
        <f t="shared" si="6"/>
        <v/>
      </c>
      <c r="BM57" s="241" t="str">
        <f t="shared" si="7"/>
        <v/>
      </c>
      <c r="BS57" s="247" t="str">
        <f t="shared" si="10"/>
        <v/>
      </c>
      <c r="BV57" s="242" t="str">
        <f t="shared" si="8"/>
        <v/>
      </c>
      <c r="BW57" s="248" t="str">
        <f t="shared" si="9"/>
        <v/>
      </c>
      <c r="CO57" s="228" t="s">
        <v>536</v>
      </c>
      <c r="CP57" s="228" t="s">
        <v>536</v>
      </c>
      <c r="CQ57" s="228" t="s">
        <v>536</v>
      </c>
      <c r="CR57" s="228" t="s">
        <v>536</v>
      </c>
    </row>
    <row r="58" spans="1:96" x14ac:dyDescent="0.3">
      <c r="A58" s="169">
        <v>56</v>
      </c>
      <c r="B58" s="169">
        <v>56</v>
      </c>
      <c r="G58" s="169" t="str">
        <f t="shared" si="0"/>
        <v xml:space="preserve">  </v>
      </c>
      <c r="H58" s="170"/>
      <c r="AI58" s="236">
        <f t="shared" si="2"/>
        <v>0</v>
      </c>
      <c r="AJ58" s="218"/>
      <c r="AM58" s="275" t="s">
        <v>536</v>
      </c>
      <c r="AO58" s="178">
        <f t="shared" si="3"/>
        <v>0</v>
      </c>
      <c r="AP58" s="178" t="e">
        <f t="shared" si="4"/>
        <v>#VALUE!</v>
      </c>
      <c r="AQ58" s="237" t="str">
        <f t="shared" si="5"/>
        <v/>
      </c>
      <c r="AR58" s="220" t="s">
        <v>536</v>
      </c>
      <c r="AS58" s="345" t="s">
        <v>536</v>
      </c>
      <c r="AT58" s="221" t="s">
        <v>536</v>
      </c>
      <c r="AU58" s="221" t="s">
        <v>536</v>
      </c>
      <c r="AV58" s="221" t="s">
        <v>536</v>
      </c>
      <c r="AW58" s="221" t="s">
        <v>536</v>
      </c>
      <c r="AX58" s="222" t="s">
        <v>536</v>
      </c>
      <c r="BF58" s="241" t="str">
        <f t="shared" si="1"/>
        <v/>
      </c>
      <c r="BL58" s="241" t="str">
        <f t="shared" si="6"/>
        <v/>
      </c>
      <c r="BM58" s="241" t="str">
        <f t="shared" si="7"/>
        <v/>
      </c>
      <c r="BS58" s="247" t="str">
        <f t="shared" si="10"/>
        <v/>
      </c>
      <c r="BV58" s="242" t="str">
        <f t="shared" si="8"/>
        <v/>
      </c>
      <c r="BW58" s="248" t="str">
        <f t="shared" si="9"/>
        <v/>
      </c>
      <c r="CO58" s="228" t="s">
        <v>536</v>
      </c>
      <c r="CP58" s="228" t="s">
        <v>536</v>
      </c>
      <c r="CQ58" s="228" t="s">
        <v>536</v>
      </c>
      <c r="CR58" s="228" t="s">
        <v>536</v>
      </c>
    </row>
    <row r="59" spans="1:96" x14ac:dyDescent="0.3">
      <c r="A59" s="169">
        <v>57</v>
      </c>
      <c r="B59" s="169">
        <v>57</v>
      </c>
      <c r="G59" s="169" t="str">
        <f t="shared" si="0"/>
        <v xml:space="preserve">  </v>
      </c>
      <c r="H59" s="170"/>
      <c r="AI59" s="236">
        <f t="shared" si="2"/>
        <v>0</v>
      </c>
      <c r="AJ59" s="218"/>
      <c r="AM59" s="275" t="s">
        <v>536</v>
      </c>
      <c r="AO59" s="178">
        <f t="shared" si="3"/>
        <v>0</v>
      </c>
      <c r="AP59" s="178" t="e">
        <f t="shared" si="4"/>
        <v>#VALUE!</v>
      </c>
      <c r="AQ59" s="237" t="str">
        <f t="shared" si="5"/>
        <v/>
      </c>
      <c r="AR59" s="220" t="s">
        <v>536</v>
      </c>
      <c r="AS59" s="345" t="s">
        <v>536</v>
      </c>
      <c r="AT59" s="221" t="s">
        <v>536</v>
      </c>
      <c r="AU59" s="221" t="s">
        <v>536</v>
      </c>
      <c r="AV59" s="221" t="s">
        <v>536</v>
      </c>
      <c r="AW59" s="221" t="s">
        <v>536</v>
      </c>
      <c r="AX59" s="222" t="s">
        <v>536</v>
      </c>
      <c r="BF59" s="241" t="str">
        <f t="shared" si="1"/>
        <v/>
      </c>
      <c r="BL59" s="241" t="str">
        <f t="shared" si="6"/>
        <v/>
      </c>
      <c r="BM59" s="241" t="str">
        <f t="shared" si="7"/>
        <v/>
      </c>
      <c r="BS59" s="247" t="str">
        <f t="shared" si="10"/>
        <v/>
      </c>
      <c r="BV59" s="242" t="str">
        <f t="shared" si="8"/>
        <v/>
      </c>
      <c r="BW59" s="248" t="str">
        <f t="shared" si="9"/>
        <v/>
      </c>
      <c r="CO59" s="228" t="s">
        <v>536</v>
      </c>
      <c r="CP59" s="228" t="s">
        <v>536</v>
      </c>
      <c r="CQ59" s="228" t="s">
        <v>536</v>
      </c>
      <c r="CR59" s="228" t="s">
        <v>536</v>
      </c>
    </row>
    <row r="60" spans="1:96" x14ac:dyDescent="0.3">
      <c r="A60" s="169">
        <v>58</v>
      </c>
      <c r="B60" s="169">
        <v>58</v>
      </c>
      <c r="G60" s="169" t="str">
        <f t="shared" si="0"/>
        <v xml:space="preserve">  </v>
      </c>
      <c r="H60" s="170"/>
      <c r="AI60" s="236">
        <f t="shared" si="2"/>
        <v>0</v>
      </c>
      <c r="AJ60" s="218"/>
      <c r="AM60" s="275" t="s">
        <v>536</v>
      </c>
      <c r="AO60" s="178">
        <f t="shared" si="3"/>
        <v>0</v>
      </c>
      <c r="AP60" s="178" t="e">
        <f t="shared" si="4"/>
        <v>#VALUE!</v>
      </c>
      <c r="AQ60" s="237" t="str">
        <f t="shared" si="5"/>
        <v/>
      </c>
      <c r="AR60" s="220" t="s">
        <v>536</v>
      </c>
      <c r="AS60" s="345" t="s">
        <v>536</v>
      </c>
      <c r="AT60" s="221" t="s">
        <v>536</v>
      </c>
      <c r="AU60" s="221" t="s">
        <v>536</v>
      </c>
      <c r="AV60" s="221" t="s">
        <v>536</v>
      </c>
      <c r="AW60" s="221" t="s">
        <v>536</v>
      </c>
      <c r="AX60" s="222" t="s">
        <v>536</v>
      </c>
      <c r="BF60" s="241" t="str">
        <f t="shared" si="1"/>
        <v/>
      </c>
      <c r="BL60" s="241" t="str">
        <f t="shared" si="6"/>
        <v/>
      </c>
      <c r="BM60" s="241" t="str">
        <f t="shared" si="7"/>
        <v/>
      </c>
      <c r="BS60" s="247" t="str">
        <f t="shared" si="10"/>
        <v/>
      </c>
      <c r="BV60" s="242" t="str">
        <f t="shared" si="8"/>
        <v/>
      </c>
      <c r="BW60" s="248" t="str">
        <f t="shared" si="9"/>
        <v/>
      </c>
      <c r="CO60" s="228" t="s">
        <v>536</v>
      </c>
      <c r="CP60" s="228" t="s">
        <v>536</v>
      </c>
      <c r="CQ60" s="228" t="s">
        <v>536</v>
      </c>
      <c r="CR60" s="228" t="s">
        <v>536</v>
      </c>
    </row>
    <row r="61" spans="1:96" x14ac:dyDescent="0.3">
      <c r="A61" s="169">
        <v>59</v>
      </c>
      <c r="B61" s="169">
        <v>59</v>
      </c>
      <c r="G61" s="169" t="str">
        <f t="shared" si="0"/>
        <v xml:space="preserve">  </v>
      </c>
      <c r="H61" s="170"/>
      <c r="AI61" s="236">
        <f t="shared" si="2"/>
        <v>0</v>
      </c>
      <c r="AJ61" s="218"/>
      <c r="AM61" s="275" t="s">
        <v>536</v>
      </c>
      <c r="AO61" s="178">
        <f t="shared" si="3"/>
        <v>0</v>
      </c>
      <c r="AP61" s="178" t="e">
        <f t="shared" si="4"/>
        <v>#VALUE!</v>
      </c>
      <c r="AQ61" s="237" t="str">
        <f t="shared" si="5"/>
        <v/>
      </c>
      <c r="AR61" s="220" t="s">
        <v>536</v>
      </c>
      <c r="AS61" s="345" t="s">
        <v>536</v>
      </c>
      <c r="AT61" s="221" t="s">
        <v>536</v>
      </c>
      <c r="AU61" s="221" t="s">
        <v>536</v>
      </c>
      <c r="AV61" s="221" t="s">
        <v>536</v>
      </c>
      <c r="AW61" s="221" t="s">
        <v>536</v>
      </c>
      <c r="AX61" s="222" t="s">
        <v>536</v>
      </c>
      <c r="BF61" s="241" t="str">
        <f t="shared" si="1"/>
        <v/>
      </c>
      <c r="BL61" s="241" t="str">
        <f t="shared" si="6"/>
        <v/>
      </c>
      <c r="BM61" s="241" t="str">
        <f t="shared" si="7"/>
        <v/>
      </c>
      <c r="BS61" s="247" t="str">
        <f t="shared" si="10"/>
        <v/>
      </c>
      <c r="BV61" s="242" t="str">
        <f t="shared" si="8"/>
        <v/>
      </c>
      <c r="BW61" s="248" t="str">
        <f t="shared" si="9"/>
        <v/>
      </c>
      <c r="CO61" s="228" t="s">
        <v>536</v>
      </c>
      <c r="CP61" s="228" t="s">
        <v>536</v>
      </c>
      <c r="CQ61" s="228" t="s">
        <v>536</v>
      </c>
      <c r="CR61" s="228" t="s">
        <v>536</v>
      </c>
    </row>
    <row r="62" spans="1:96" x14ac:dyDescent="0.3">
      <c r="A62" s="169">
        <v>60</v>
      </c>
      <c r="B62" s="169">
        <v>60</v>
      </c>
      <c r="G62" s="169" t="str">
        <f t="shared" si="0"/>
        <v xml:space="preserve">  </v>
      </c>
      <c r="H62" s="170"/>
      <c r="AI62" s="236">
        <f t="shared" si="2"/>
        <v>0</v>
      </c>
      <c r="AJ62" s="218"/>
      <c r="AM62" s="275" t="s">
        <v>536</v>
      </c>
      <c r="AO62" s="178">
        <f t="shared" si="3"/>
        <v>0</v>
      </c>
      <c r="AP62" s="178" t="e">
        <f t="shared" si="4"/>
        <v>#VALUE!</v>
      </c>
      <c r="AQ62" s="237" t="str">
        <f t="shared" si="5"/>
        <v/>
      </c>
      <c r="AR62" s="220" t="s">
        <v>536</v>
      </c>
      <c r="AS62" s="345" t="s">
        <v>536</v>
      </c>
      <c r="AT62" s="221" t="s">
        <v>536</v>
      </c>
      <c r="AU62" s="221" t="s">
        <v>536</v>
      </c>
      <c r="AV62" s="221" t="s">
        <v>536</v>
      </c>
      <c r="AW62" s="221" t="s">
        <v>536</v>
      </c>
      <c r="AX62" s="222" t="s">
        <v>536</v>
      </c>
      <c r="BF62" s="241" t="str">
        <f t="shared" si="1"/>
        <v/>
      </c>
      <c r="BL62" s="241" t="str">
        <f t="shared" si="6"/>
        <v/>
      </c>
      <c r="BM62" s="241" t="str">
        <f t="shared" si="7"/>
        <v/>
      </c>
      <c r="BS62" s="247" t="str">
        <f t="shared" si="10"/>
        <v/>
      </c>
      <c r="BV62" s="242" t="str">
        <f t="shared" si="8"/>
        <v/>
      </c>
      <c r="BW62" s="248" t="str">
        <f t="shared" si="9"/>
        <v/>
      </c>
      <c r="CO62" s="228" t="s">
        <v>536</v>
      </c>
      <c r="CP62" s="228" t="s">
        <v>536</v>
      </c>
      <c r="CQ62" s="228" t="s">
        <v>536</v>
      </c>
      <c r="CR62" s="228" t="s">
        <v>536</v>
      </c>
    </row>
    <row r="63" spans="1:96" x14ac:dyDescent="0.3">
      <c r="A63" s="169">
        <v>61</v>
      </c>
      <c r="B63" s="169">
        <v>61</v>
      </c>
      <c r="G63" s="169" t="str">
        <f t="shared" si="0"/>
        <v xml:space="preserve">  </v>
      </c>
      <c r="H63" s="170"/>
      <c r="AI63" s="236">
        <f t="shared" si="2"/>
        <v>0</v>
      </c>
      <c r="AJ63" s="218"/>
      <c r="AM63" s="275" t="s">
        <v>536</v>
      </c>
      <c r="AO63" s="178">
        <f t="shared" si="3"/>
        <v>0</v>
      </c>
      <c r="AP63" s="178" t="e">
        <f t="shared" si="4"/>
        <v>#VALUE!</v>
      </c>
      <c r="AQ63" s="237" t="str">
        <f t="shared" si="5"/>
        <v/>
      </c>
      <c r="AR63" s="220" t="s">
        <v>536</v>
      </c>
      <c r="AS63" s="345" t="s">
        <v>536</v>
      </c>
      <c r="AT63" s="221" t="s">
        <v>536</v>
      </c>
      <c r="AU63" s="221" t="s">
        <v>536</v>
      </c>
      <c r="AV63" s="221" t="s">
        <v>536</v>
      </c>
      <c r="AW63" s="221" t="s">
        <v>536</v>
      </c>
      <c r="AX63" s="222" t="s">
        <v>536</v>
      </c>
      <c r="BF63" s="241" t="str">
        <f t="shared" si="1"/>
        <v/>
      </c>
      <c r="BL63" s="241" t="str">
        <f t="shared" si="6"/>
        <v/>
      </c>
      <c r="BM63" s="241" t="str">
        <f t="shared" si="7"/>
        <v/>
      </c>
      <c r="BS63" s="247" t="str">
        <f t="shared" si="10"/>
        <v/>
      </c>
      <c r="BV63" s="242" t="str">
        <f t="shared" si="8"/>
        <v/>
      </c>
      <c r="BW63" s="248" t="str">
        <f t="shared" si="9"/>
        <v/>
      </c>
      <c r="CO63" s="228" t="s">
        <v>536</v>
      </c>
      <c r="CP63" s="228" t="s">
        <v>536</v>
      </c>
      <c r="CQ63" s="228" t="s">
        <v>536</v>
      </c>
      <c r="CR63" s="228" t="s">
        <v>536</v>
      </c>
    </row>
    <row r="64" spans="1:96" x14ac:dyDescent="0.3">
      <c r="A64" s="169">
        <v>62</v>
      </c>
      <c r="B64" s="169">
        <v>62</v>
      </c>
      <c r="G64" s="169" t="str">
        <f t="shared" ref="G64" si="15">CONCATENATE(D64," ",E64," ",F64)</f>
        <v xml:space="preserve">  </v>
      </c>
      <c r="H64" s="170"/>
      <c r="AI64" s="236">
        <f t="shared" si="2"/>
        <v>0</v>
      </c>
      <c r="AJ64" s="218"/>
      <c r="AM64" s="275" t="s">
        <v>536</v>
      </c>
      <c r="AO64" s="178">
        <f t="shared" si="3"/>
        <v>0</v>
      </c>
      <c r="AP64" s="178" t="e">
        <f t="shared" si="4"/>
        <v>#VALUE!</v>
      </c>
      <c r="AQ64" s="237" t="str">
        <f t="shared" si="5"/>
        <v/>
      </c>
      <c r="AR64" s="220" t="s">
        <v>536</v>
      </c>
      <c r="AS64" s="345" t="s">
        <v>536</v>
      </c>
      <c r="AT64" s="221" t="s">
        <v>536</v>
      </c>
      <c r="AU64" s="221" t="s">
        <v>536</v>
      </c>
      <c r="AV64" s="221" t="s">
        <v>536</v>
      </c>
      <c r="AW64" s="221" t="s">
        <v>536</v>
      </c>
      <c r="AX64" s="222" t="s">
        <v>536</v>
      </c>
      <c r="BF64" s="241" t="str">
        <f t="shared" si="1"/>
        <v/>
      </c>
      <c r="BL64" s="241" t="str">
        <f t="shared" si="6"/>
        <v/>
      </c>
      <c r="BM64" s="241" t="str">
        <f t="shared" si="7"/>
        <v/>
      </c>
      <c r="BS64" s="247" t="str">
        <f t="shared" si="10"/>
        <v/>
      </c>
      <c r="BV64" s="242" t="str">
        <f t="shared" si="8"/>
        <v/>
      </c>
      <c r="BW64" s="248" t="str">
        <f t="shared" si="9"/>
        <v/>
      </c>
      <c r="CO64" s="228" t="s">
        <v>536</v>
      </c>
      <c r="CP64" s="228" t="s">
        <v>536</v>
      </c>
      <c r="CQ64" s="228" t="s">
        <v>536</v>
      </c>
      <c r="CR64" s="228" t="s">
        <v>536</v>
      </c>
    </row>
    <row r="65" spans="1:96" x14ac:dyDescent="0.3">
      <c r="A65" s="169">
        <v>63</v>
      </c>
      <c r="B65" s="169">
        <v>63</v>
      </c>
      <c r="G65" s="169" t="str">
        <f t="shared" si="0"/>
        <v xml:space="preserve">  </v>
      </c>
      <c r="H65" s="170"/>
      <c r="AI65" s="236">
        <f t="shared" si="2"/>
        <v>0</v>
      </c>
      <c r="AJ65" s="218"/>
      <c r="AM65" s="275" t="s">
        <v>536</v>
      </c>
      <c r="AO65" s="178">
        <f t="shared" si="3"/>
        <v>0</v>
      </c>
      <c r="AP65" s="178" t="e">
        <f t="shared" si="4"/>
        <v>#VALUE!</v>
      </c>
      <c r="AQ65" s="237" t="str">
        <f t="shared" si="5"/>
        <v/>
      </c>
      <c r="AR65" s="220" t="s">
        <v>536</v>
      </c>
      <c r="AS65" s="345" t="s">
        <v>536</v>
      </c>
      <c r="AT65" s="221" t="s">
        <v>536</v>
      </c>
      <c r="AU65" s="221" t="s">
        <v>536</v>
      </c>
      <c r="AV65" s="221" t="s">
        <v>536</v>
      </c>
      <c r="AW65" s="221" t="s">
        <v>536</v>
      </c>
      <c r="AX65" s="222" t="s">
        <v>536</v>
      </c>
      <c r="BF65" s="241" t="str">
        <f t="shared" si="1"/>
        <v/>
      </c>
      <c r="BL65" s="241" t="str">
        <f t="shared" si="6"/>
        <v/>
      </c>
      <c r="BM65" s="241" t="str">
        <f t="shared" si="7"/>
        <v/>
      </c>
      <c r="BS65" s="247" t="str">
        <f t="shared" si="10"/>
        <v/>
      </c>
      <c r="BV65" s="242" t="str">
        <f t="shared" si="8"/>
        <v/>
      </c>
      <c r="BW65" s="248" t="str">
        <f t="shared" si="9"/>
        <v/>
      </c>
      <c r="CO65" s="228" t="s">
        <v>536</v>
      </c>
      <c r="CP65" s="228" t="s">
        <v>536</v>
      </c>
      <c r="CQ65" s="228" t="s">
        <v>536</v>
      </c>
      <c r="CR65" s="228" t="s">
        <v>536</v>
      </c>
    </row>
    <row r="66" spans="1:96" x14ac:dyDescent="0.3">
      <c r="A66" s="169">
        <v>64</v>
      </c>
      <c r="B66" s="169">
        <v>64</v>
      </c>
      <c r="G66" s="169" t="str">
        <f t="shared" si="0"/>
        <v xml:space="preserve">  </v>
      </c>
      <c r="H66" s="170"/>
      <c r="AI66" s="236">
        <f t="shared" si="2"/>
        <v>0</v>
      </c>
      <c r="AJ66" s="218"/>
      <c r="AM66" s="275" t="s">
        <v>536</v>
      </c>
      <c r="AO66" s="178">
        <f t="shared" si="3"/>
        <v>0</v>
      </c>
      <c r="AP66" s="178" t="e">
        <f t="shared" si="4"/>
        <v>#VALUE!</v>
      </c>
      <c r="AQ66" s="237" t="str">
        <f t="shared" si="5"/>
        <v/>
      </c>
      <c r="AR66" s="220" t="s">
        <v>536</v>
      </c>
      <c r="AS66" s="345" t="s">
        <v>536</v>
      </c>
      <c r="AT66" s="221" t="s">
        <v>536</v>
      </c>
      <c r="AU66" s="221" t="s">
        <v>536</v>
      </c>
      <c r="AV66" s="221" t="s">
        <v>536</v>
      </c>
      <c r="AW66" s="221" t="s">
        <v>536</v>
      </c>
      <c r="AX66" s="222" t="s">
        <v>536</v>
      </c>
      <c r="BF66" s="241" t="str">
        <f t="shared" si="1"/>
        <v/>
      </c>
      <c r="BL66" s="241" t="str">
        <f t="shared" si="6"/>
        <v/>
      </c>
      <c r="BM66" s="241" t="str">
        <f t="shared" si="7"/>
        <v/>
      </c>
      <c r="BS66" s="247" t="str">
        <f t="shared" si="10"/>
        <v/>
      </c>
      <c r="BV66" s="242" t="str">
        <f t="shared" si="8"/>
        <v/>
      </c>
      <c r="BW66" s="248" t="str">
        <f t="shared" si="9"/>
        <v/>
      </c>
      <c r="CO66" s="228" t="s">
        <v>536</v>
      </c>
      <c r="CP66" s="228" t="s">
        <v>536</v>
      </c>
      <c r="CQ66" s="228" t="s">
        <v>536</v>
      </c>
      <c r="CR66" s="228" t="s">
        <v>536</v>
      </c>
    </row>
    <row r="67" spans="1:96" x14ac:dyDescent="0.3">
      <c r="A67" s="169">
        <v>65</v>
      </c>
      <c r="B67" s="169">
        <v>65</v>
      </c>
      <c r="G67" s="169" t="str">
        <f t="shared" ref="G67:G112" si="16">CONCATENATE(D67," ",E67," ",F67)</f>
        <v xml:space="preserve">  </v>
      </c>
      <c r="H67" s="170"/>
      <c r="AI67" s="236">
        <f t="shared" si="2"/>
        <v>0</v>
      </c>
      <c r="AJ67" s="218"/>
      <c r="AM67" s="275" t="s">
        <v>536</v>
      </c>
      <c r="AO67" s="178">
        <f t="shared" si="3"/>
        <v>0</v>
      </c>
      <c r="AP67" s="178" t="e">
        <f t="shared" si="4"/>
        <v>#VALUE!</v>
      </c>
      <c r="AQ67" s="237" t="str">
        <f t="shared" si="5"/>
        <v/>
      </c>
      <c r="AR67" s="220" t="s">
        <v>536</v>
      </c>
      <c r="AS67" s="345" t="s">
        <v>536</v>
      </c>
      <c r="AT67" s="221" t="s">
        <v>536</v>
      </c>
      <c r="AU67" s="221" t="s">
        <v>536</v>
      </c>
      <c r="AV67" s="221" t="s">
        <v>536</v>
      </c>
      <c r="AW67" s="221" t="s">
        <v>536</v>
      </c>
      <c r="AX67" s="222" t="s">
        <v>536</v>
      </c>
      <c r="BF67" s="241" t="str">
        <f t="shared" ref="BF67:BF79" si="17">IF(BE67="","",BE67/2.14)</f>
        <v/>
      </c>
      <c r="BL67" s="241" t="str">
        <f t="shared" si="6"/>
        <v/>
      </c>
      <c r="BM67" s="241" t="str">
        <f t="shared" si="7"/>
        <v/>
      </c>
      <c r="BS67" s="247" t="str">
        <f t="shared" si="10"/>
        <v/>
      </c>
      <c r="BV67" s="242" t="str">
        <f t="shared" si="8"/>
        <v/>
      </c>
      <c r="BW67" s="248" t="str">
        <f t="shared" si="9"/>
        <v/>
      </c>
      <c r="CO67" s="228" t="s">
        <v>536</v>
      </c>
      <c r="CP67" s="228" t="s">
        <v>536</v>
      </c>
      <c r="CQ67" s="228" t="s">
        <v>536</v>
      </c>
      <c r="CR67" s="228" t="s">
        <v>536</v>
      </c>
    </row>
    <row r="68" spans="1:96" x14ac:dyDescent="0.3">
      <c r="A68" s="169">
        <v>66</v>
      </c>
      <c r="B68" s="169">
        <v>66</v>
      </c>
      <c r="G68" s="169" t="str">
        <f t="shared" si="16"/>
        <v xml:space="preserve">  </v>
      </c>
      <c r="H68" s="170"/>
      <c r="AI68" s="236">
        <f t="shared" ref="AI68:AI80" si="18">SUM(AA68:AH68)</f>
        <v>0</v>
      </c>
      <c r="AJ68" s="218"/>
      <c r="AM68" s="275" t="s">
        <v>536</v>
      </c>
      <c r="AO68" s="178">
        <f t="shared" ref="AO68:AO112" si="19">AN68/2</f>
        <v>0</v>
      </c>
      <c r="AP68" s="178" t="e">
        <f t="shared" ref="AP68:AP112" si="20">AM68+AO68</f>
        <v>#VALUE!</v>
      </c>
      <c r="AQ68" s="237" t="str">
        <f t="shared" ref="AQ68:AQ131" si="21">IF(AN68="","",AP68/2)</f>
        <v/>
      </c>
      <c r="AR68" s="220" t="s">
        <v>536</v>
      </c>
      <c r="AS68" s="345" t="s">
        <v>536</v>
      </c>
      <c r="AT68" s="221" t="s">
        <v>536</v>
      </c>
      <c r="AU68" s="221" t="s">
        <v>536</v>
      </c>
      <c r="AV68" s="221" t="s">
        <v>536</v>
      </c>
      <c r="AW68" s="221" t="s">
        <v>536</v>
      </c>
      <c r="AX68" s="222" t="s">
        <v>536</v>
      </c>
      <c r="BF68" s="241" t="str">
        <f t="shared" si="17"/>
        <v/>
      </c>
      <c r="BL68" s="241" t="str">
        <f t="shared" ref="BL68:BL131" si="22">IF(BK68="","",IF(AND(BJ68&gt;400,BK68&gt;1),"No Procede",IF(BK68&lt;1,"",BI68-BK68-(BJ68/5))))</f>
        <v/>
      </c>
      <c r="BM68" s="241" t="str">
        <f t="shared" ref="BM68:BM131" si="23">IF(BK68="","",IF(AND(BJ68&gt;400,BK68&gt;1),"NO PROCEDE",IF(BK68="","",BJ68/5)))</f>
        <v/>
      </c>
      <c r="BS68" s="247" t="str">
        <f t="shared" si="10"/>
        <v/>
      </c>
      <c r="BV68" s="242" t="str">
        <f t="shared" ref="BV68:BV131" si="24">IF(OR(BT68="",BU68=""),"",ROUND(BT68-BU68,1))</f>
        <v/>
      </c>
      <c r="BW68" s="248" t="str">
        <f t="shared" ref="BW68:BW131" si="25">IF(OR(BT68="",BU68=""),"",ROUND(BU68/BV68,1))</f>
        <v/>
      </c>
      <c r="CO68" s="228" t="s">
        <v>536</v>
      </c>
      <c r="CP68" s="228" t="s">
        <v>536</v>
      </c>
      <c r="CQ68" s="228" t="s">
        <v>536</v>
      </c>
      <c r="CR68" s="228" t="s">
        <v>536</v>
      </c>
    </row>
    <row r="69" spans="1:96" x14ac:dyDescent="0.3">
      <c r="A69" s="169">
        <v>67</v>
      </c>
      <c r="B69" s="169">
        <v>67</v>
      </c>
      <c r="G69" s="169" t="str">
        <f t="shared" si="16"/>
        <v xml:space="preserve">  </v>
      </c>
      <c r="H69" s="170"/>
      <c r="AI69" s="236">
        <f t="shared" si="18"/>
        <v>0</v>
      </c>
      <c r="AJ69" s="218"/>
      <c r="AM69" s="275" t="s">
        <v>536</v>
      </c>
      <c r="AO69" s="178">
        <f t="shared" si="19"/>
        <v>0</v>
      </c>
      <c r="AP69" s="178" t="e">
        <f t="shared" si="20"/>
        <v>#VALUE!</v>
      </c>
      <c r="AQ69" s="237" t="str">
        <f t="shared" si="21"/>
        <v/>
      </c>
      <c r="AR69" s="220" t="s">
        <v>536</v>
      </c>
      <c r="AS69" s="345" t="s">
        <v>536</v>
      </c>
      <c r="AT69" s="221" t="s">
        <v>536</v>
      </c>
      <c r="AU69" s="221" t="s">
        <v>536</v>
      </c>
      <c r="AV69" s="221" t="s">
        <v>536</v>
      </c>
      <c r="AW69" s="221" t="s">
        <v>536</v>
      </c>
      <c r="AX69" s="222" t="s">
        <v>536</v>
      </c>
      <c r="BF69" s="241" t="str">
        <f t="shared" si="17"/>
        <v/>
      </c>
      <c r="BL69" s="241" t="str">
        <f t="shared" si="22"/>
        <v/>
      </c>
      <c r="BM69" s="241" t="str">
        <f t="shared" si="23"/>
        <v/>
      </c>
      <c r="BS69" s="247" t="str">
        <f t="shared" ref="BS69:BS132" si="26">IF(BQ69="","",SUM(BQ69:BR69))</f>
        <v/>
      </c>
      <c r="BV69" s="242" t="str">
        <f t="shared" si="24"/>
        <v/>
      </c>
      <c r="BW69" s="248" t="str">
        <f t="shared" si="25"/>
        <v/>
      </c>
      <c r="CO69" s="228" t="s">
        <v>536</v>
      </c>
      <c r="CP69" s="228" t="s">
        <v>536</v>
      </c>
      <c r="CQ69" s="228" t="s">
        <v>536</v>
      </c>
      <c r="CR69" s="228" t="s">
        <v>536</v>
      </c>
    </row>
    <row r="70" spans="1:96" x14ac:dyDescent="0.3">
      <c r="A70" s="169">
        <v>68</v>
      </c>
      <c r="B70" s="169">
        <v>68</v>
      </c>
      <c r="G70" s="169" t="str">
        <f t="shared" si="16"/>
        <v xml:space="preserve">  </v>
      </c>
      <c r="H70" s="170"/>
      <c r="AI70" s="236">
        <f t="shared" si="18"/>
        <v>0</v>
      </c>
      <c r="AJ70" s="218"/>
      <c r="AM70" s="275" t="s">
        <v>536</v>
      </c>
      <c r="AO70" s="178">
        <f t="shared" si="19"/>
        <v>0</v>
      </c>
      <c r="AP70" s="178" t="e">
        <f t="shared" si="20"/>
        <v>#VALUE!</v>
      </c>
      <c r="AQ70" s="237" t="str">
        <f t="shared" si="21"/>
        <v/>
      </c>
      <c r="AR70" s="220" t="s">
        <v>536</v>
      </c>
      <c r="AS70" s="345" t="s">
        <v>536</v>
      </c>
      <c r="AT70" s="221" t="s">
        <v>536</v>
      </c>
      <c r="AU70" s="221" t="s">
        <v>536</v>
      </c>
      <c r="AV70" s="221" t="s">
        <v>536</v>
      </c>
      <c r="AW70" s="221" t="s">
        <v>536</v>
      </c>
      <c r="AX70" s="222" t="s">
        <v>536</v>
      </c>
      <c r="BF70" s="241" t="str">
        <f t="shared" si="17"/>
        <v/>
      </c>
      <c r="BL70" s="241" t="str">
        <f t="shared" si="22"/>
        <v/>
      </c>
      <c r="BM70" s="241" t="str">
        <f t="shared" si="23"/>
        <v/>
      </c>
      <c r="BS70" s="247" t="str">
        <f t="shared" si="26"/>
        <v/>
      </c>
      <c r="BV70" s="242" t="str">
        <f t="shared" si="24"/>
        <v/>
      </c>
      <c r="BW70" s="248" t="str">
        <f t="shared" si="25"/>
        <v/>
      </c>
      <c r="CO70" s="228" t="s">
        <v>536</v>
      </c>
      <c r="CP70" s="228" t="s">
        <v>536</v>
      </c>
      <c r="CQ70" s="228" t="s">
        <v>536</v>
      </c>
      <c r="CR70" s="228" t="s">
        <v>536</v>
      </c>
    </row>
    <row r="71" spans="1:96" x14ac:dyDescent="0.3">
      <c r="A71" s="169">
        <v>69</v>
      </c>
      <c r="B71" s="169">
        <v>69</v>
      </c>
      <c r="G71" s="169" t="str">
        <f t="shared" si="16"/>
        <v xml:space="preserve">  </v>
      </c>
      <c r="H71" s="170"/>
      <c r="AI71" s="236">
        <f t="shared" si="18"/>
        <v>0</v>
      </c>
      <c r="AJ71" s="218"/>
      <c r="AM71" s="275" t="s">
        <v>536</v>
      </c>
      <c r="AO71" s="178">
        <f t="shared" si="19"/>
        <v>0</v>
      </c>
      <c r="AP71" s="178" t="e">
        <f t="shared" si="20"/>
        <v>#VALUE!</v>
      </c>
      <c r="AQ71" s="237" t="str">
        <f t="shared" si="21"/>
        <v/>
      </c>
      <c r="AR71" s="220" t="s">
        <v>536</v>
      </c>
      <c r="AS71" s="345" t="s">
        <v>536</v>
      </c>
      <c r="AT71" s="221" t="s">
        <v>536</v>
      </c>
      <c r="AU71" s="221" t="s">
        <v>536</v>
      </c>
      <c r="AV71" s="221" t="s">
        <v>536</v>
      </c>
      <c r="AW71" s="221" t="s">
        <v>536</v>
      </c>
      <c r="AX71" s="222" t="s">
        <v>536</v>
      </c>
      <c r="BF71" s="241" t="str">
        <f t="shared" si="17"/>
        <v/>
      </c>
      <c r="BL71" s="241" t="str">
        <f t="shared" si="22"/>
        <v/>
      </c>
      <c r="BM71" s="241" t="str">
        <f t="shared" si="23"/>
        <v/>
      </c>
      <c r="BS71" s="247" t="str">
        <f t="shared" si="26"/>
        <v/>
      </c>
      <c r="BV71" s="242" t="str">
        <f t="shared" si="24"/>
        <v/>
      </c>
      <c r="BW71" s="248" t="str">
        <f t="shared" si="25"/>
        <v/>
      </c>
      <c r="CO71" s="228" t="s">
        <v>536</v>
      </c>
      <c r="CP71" s="228" t="s">
        <v>536</v>
      </c>
      <c r="CQ71" s="228" t="s">
        <v>536</v>
      </c>
      <c r="CR71" s="228" t="s">
        <v>536</v>
      </c>
    </row>
    <row r="72" spans="1:96" x14ac:dyDescent="0.3">
      <c r="A72" s="169">
        <v>70</v>
      </c>
      <c r="B72" s="169">
        <v>70</v>
      </c>
      <c r="G72" s="169" t="str">
        <f t="shared" si="16"/>
        <v xml:space="preserve">  </v>
      </c>
      <c r="H72" s="170"/>
      <c r="AI72" s="236">
        <f t="shared" si="18"/>
        <v>0</v>
      </c>
      <c r="AJ72" s="218"/>
      <c r="AM72" s="275" t="s">
        <v>536</v>
      </c>
      <c r="AO72" s="178">
        <f t="shared" si="19"/>
        <v>0</v>
      </c>
      <c r="AP72" s="178" t="e">
        <f t="shared" si="20"/>
        <v>#VALUE!</v>
      </c>
      <c r="AQ72" s="237" t="str">
        <f t="shared" si="21"/>
        <v/>
      </c>
      <c r="AR72" s="220" t="s">
        <v>536</v>
      </c>
      <c r="AS72" s="345" t="s">
        <v>536</v>
      </c>
      <c r="AT72" s="221" t="s">
        <v>536</v>
      </c>
      <c r="AU72" s="221" t="s">
        <v>536</v>
      </c>
      <c r="AV72" s="221" t="s">
        <v>536</v>
      </c>
      <c r="AW72" s="221" t="s">
        <v>536</v>
      </c>
      <c r="AX72" s="222" t="s">
        <v>536</v>
      </c>
      <c r="BF72" s="241" t="str">
        <f t="shared" si="17"/>
        <v/>
      </c>
      <c r="BL72" s="241" t="str">
        <f t="shared" si="22"/>
        <v/>
      </c>
      <c r="BM72" s="241" t="str">
        <f t="shared" si="23"/>
        <v/>
      </c>
      <c r="BS72" s="247" t="str">
        <f t="shared" si="26"/>
        <v/>
      </c>
      <c r="BV72" s="242" t="str">
        <f t="shared" si="24"/>
        <v/>
      </c>
      <c r="BW72" s="248" t="str">
        <f t="shared" si="25"/>
        <v/>
      </c>
      <c r="CO72" s="228" t="s">
        <v>536</v>
      </c>
      <c r="CP72" s="228" t="s">
        <v>536</v>
      </c>
      <c r="CQ72" s="228" t="s">
        <v>536</v>
      </c>
      <c r="CR72" s="228" t="s">
        <v>536</v>
      </c>
    </row>
    <row r="73" spans="1:96" x14ac:dyDescent="0.3">
      <c r="A73" s="169">
        <v>71</v>
      </c>
      <c r="B73" s="169">
        <v>71</v>
      </c>
      <c r="G73" s="169" t="str">
        <f t="shared" si="16"/>
        <v xml:space="preserve">  </v>
      </c>
      <c r="H73" s="170"/>
      <c r="AI73" s="236">
        <f t="shared" si="18"/>
        <v>0</v>
      </c>
      <c r="AJ73" s="218"/>
      <c r="AM73" s="275" t="s">
        <v>536</v>
      </c>
      <c r="AO73" s="178">
        <f t="shared" si="19"/>
        <v>0</v>
      </c>
      <c r="AP73" s="178" t="e">
        <f t="shared" si="20"/>
        <v>#VALUE!</v>
      </c>
      <c r="AQ73" s="237" t="str">
        <f t="shared" si="21"/>
        <v/>
      </c>
      <c r="AR73" s="220" t="s">
        <v>536</v>
      </c>
      <c r="AS73" s="345" t="s">
        <v>536</v>
      </c>
      <c r="AT73" s="221" t="s">
        <v>536</v>
      </c>
      <c r="AU73" s="221" t="s">
        <v>536</v>
      </c>
      <c r="AV73" s="221" t="s">
        <v>536</v>
      </c>
      <c r="AW73" s="221" t="s">
        <v>536</v>
      </c>
      <c r="AX73" s="222" t="s">
        <v>536</v>
      </c>
      <c r="BF73" s="241" t="str">
        <f t="shared" si="17"/>
        <v/>
      </c>
      <c r="BL73" s="241" t="str">
        <f t="shared" si="22"/>
        <v/>
      </c>
      <c r="BM73" s="241" t="str">
        <f t="shared" si="23"/>
        <v/>
      </c>
      <c r="BS73" s="247" t="str">
        <f t="shared" si="26"/>
        <v/>
      </c>
      <c r="BV73" s="242" t="str">
        <f t="shared" si="24"/>
        <v/>
      </c>
      <c r="BW73" s="248" t="str">
        <f t="shared" si="25"/>
        <v/>
      </c>
      <c r="CO73" s="228" t="s">
        <v>536</v>
      </c>
      <c r="CP73" s="228" t="s">
        <v>536</v>
      </c>
      <c r="CQ73" s="228" t="s">
        <v>536</v>
      </c>
      <c r="CR73" s="228" t="s">
        <v>536</v>
      </c>
    </row>
    <row r="74" spans="1:96" x14ac:dyDescent="0.3">
      <c r="A74" s="169">
        <v>72</v>
      </c>
      <c r="B74" s="169">
        <v>72</v>
      </c>
      <c r="G74" s="169" t="str">
        <f t="shared" si="16"/>
        <v xml:space="preserve">  </v>
      </c>
      <c r="H74" s="170"/>
      <c r="AI74" s="236">
        <f t="shared" si="18"/>
        <v>0</v>
      </c>
      <c r="AJ74" s="218"/>
      <c r="AM74" s="275" t="s">
        <v>536</v>
      </c>
      <c r="AO74" s="178">
        <f t="shared" si="19"/>
        <v>0</v>
      </c>
      <c r="AP74" s="178" t="e">
        <f t="shared" si="20"/>
        <v>#VALUE!</v>
      </c>
      <c r="AQ74" s="237" t="str">
        <f t="shared" si="21"/>
        <v/>
      </c>
      <c r="AR74" s="220" t="s">
        <v>536</v>
      </c>
      <c r="AS74" s="345" t="s">
        <v>536</v>
      </c>
      <c r="AT74" s="221" t="s">
        <v>536</v>
      </c>
      <c r="AU74" s="221" t="s">
        <v>536</v>
      </c>
      <c r="AV74" s="221" t="s">
        <v>536</v>
      </c>
      <c r="AW74" s="221" t="s">
        <v>536</v>
      </c>
      <c r="AX74" s="222" t="s">
        <v>536</v>
      </c>
      <c r="BF74" s="241" t="str">
        <f t="shared" si="17"/>
        <v/>
      </c>
      <c r="BL74" s="241" t="str">
        <f t="shared" si="22"/>
        <v/>
      </c>
      <c r="BM74" s="241" t="str">
        <f t="shared" si="23"/>
        <v/>
      </c>
      <c r="BS74" s="247" t="str">
        <f t="shared" si="26"/>
        <v/>
      </c>
      <c r="BV74" s="242" t="str">
        <f t="shared" si="24"/>
        <v/>
      </c>
      <c r="BW74" s="248" t="str">
        <f t="shared" si="25"/>
        <v/>
      </c>
      <c r="CO74" s="228" t="s">
        <v>536</v>
      </c>
      <c r="CP74" s="228" t="s">
        <v>536</v>
      </c>
      <c r="CQ74" s="228" t="s">
        <v>536</v>
      </c>
      <c r="CR74" s="228" t="s">
        <v>536</v>
      </c>
    </row>
    <row r="75" spans="1:96" x14ac:dyDescent="0.3">
      <c r="A75" s="169">
        <v>73</v>
      </c>
      <c r="B75" s="169">
        <v>73</v>
      </c>
      <c r="G75" s="169" t="str">
        <f t="shared" si="16"/>
        <v xml:space="preserve">  </v>
      </c>
      <c r="H75" s="170"/>
      <c r="AI75" s="236">
        <f t="shared" si="18"/>
        <v>0</v>
      </c>
      <c r="AJ75" s="218"/>
      <c r="AM75" s="275" t="s">
        <v>536</v>
      </c>
      <c r="AO75" s="178">
        <f t="shared" si="19"/>
        <v>0</v>
      </c>
      <c r="AP75" s="178" t="e">
        <f t="shared" si="20"/>
        <v>#VALUE!</v>
      </c>
      <c r="AQ75" s="237" t="str">
        <f t="shared" si="21"/>
        <v/>
      </c>
      <c r="AR75" s="220" t="s">
        <v>536</v>
      </c>
      <c r="AS75" s="345" t="s">
        <v>536</v>
      </c>
      <c r="AT75" s="221" t="s">
        <v>536</v>
      </c>
      <c r="AU75" s="221" t="s">
        <v>536</v>
      </c>
      <c r="AV75" s="221" t="s">
        <v>536</v>
      </c>
      <c r="AW75" s="221" t="s">
        <v>536</v>
      </c>
      <c r="AX75" s="222" t="s">
        <v>536</v>
      </c>
      <c r="BF75" s="241" t="str">
        <f t="shared" si="17"/>
        <v/>
      </c>
      <c r="BL75" s="241" t="str">
        <f t="shared" si="22"/>
        <v/>
      </c>
      <c r="BM75" s="241" t="str">
        <f t="shared" si="23"/>
        <v/>
      </c>
      <c r="BS75" s="247" t="str">
        <f t="shared" si="26"/>
        <v/>
      </c>
      <c r="BV75" s="242" t="str">
        <f t="shared" si="24"/>
        <v/>
      </c>
      <c r="BW75" s="248" t="str">
        <f t="shared" si="25"/>
        <v/>
      </c>
      <c r="CO75" s="228" t="s">
        <v>536</v>
      </c>
      <c r="CP75" s="228" t="s">
        <v>536</v>
      </c>
      <c r="CQ75" s="228" t="s">
        <v>536</v>
      </c>
      <c r="CR75" s="228" t="s">
        <v>536</v>
      </c>
    </row>
    <row r="76" spans="1:96" x14ac:dyDescent="0.3">
      <c r="A76" s="169">
        <v>74</v>
      </c>
      <c r="B76" s="169">
        <v>74</v>
      </c>
      <c r="G76" s="169" t="str">
        <f t="shared" si="16"/>
        <v xml:space="preserve">  </v>
      </c>
      <c r="H76" s="170"/>
      <c r="AI76" s="236">
        <f t="shared" si="18"/>
        <v>0</v>
      </c>
      <c r="AJ76" s="218"/>
      <c r="AM76" s="275" t="s">
        <v>536</v>
      </c>
      <c r="AO76" s="178">
        <f t="shared" si="19"/>
        <v>0</v>
      </c>
      <c r="AP76" s="178" t="e">
        <f t="shared" si="20"/>
        <v>#VALUE!</v>
      </c>
      <c r="AQ76" s="237" t="str">
        <f t="shared" si="21"/>
        <v/>
      </c>
      <c r="AR76" s="220" t="s">
        <v>536</v>
      </c>
      <c r="AS76" s="345" t="s">
        <v>536</v>
      </c>
      <c r="AT76" s="221" t="s">
        <v>536</v>
      </c>
      <c r="AU76" s="221" t="s">
        <v>536</v>
      </c>
      <c r="AV76" s="221" t="s">
        <v>536</v>
      </c>
      <c r="AW76" s="221" t="s">
        <v>536</v>
      </c>
      <c r="AX76" s="222" t="s">
        <v>536</v>
      </c>
      <c r="BF76" s="241" t="str">
        <f t="shared" si="17"/>
        <v/>
      </c>
      <c r="BL76" s="241" t="str">
        <f t="shared" si="22"/>
        <v/>
      </c>
      <c r="BM76" s="241" t="str">
        <f t="shared" si="23"/>
        <v/>
      </c>
      <c r="BS76" s="247" t="str">
        <f t="shared" si="26"/>
        <v/>
      </c>
      <c r="BV76" s="242" t="str">
        <f t="shared" si="24"/>
        <v/>
      </c>
      <c r="BW76" s="248" t="str">
        <f t="shared" si="25"/>
        <v/>
      </c>
      <c r="CO76" s="228" t="s">
        <v>536</v>
      </c>
      <c r="CP76" s="228" t="s">
        <v>536</v>
      </c>
      <c r="CQ76" s="228" t="s">
        <v>536</v>
      </c>
      <c r="CR76" s="228" t="s">
        <v>536</v>
      </c>
    </row>
    <row r="77" spans="1:96" x14ac:dyDescent="0.3">
      <c r="A77" s="169">
        <v>75</v>
      </c>
      <c r="B77" s="169">
        <v>75</v>
      </c>
      <c r="G77" s="169" t="str">
        <f t="shared" si="16"/>
        <v xml:space="preserve">  </v>
      </c>
      <c r="H77" s="170"/>
      <c r="AI77" s="236">
        <f t="shared" si="18"/>
        <v>0</v>
      </c>
      <c r="AJ77" s="218"/>
      <c r="AM77" s="275" t="s">
        <v>536</v>
      </c>
      <c r="AO77" s="178">
        <f t="shared" si="19"/>
        <v>0</v>
      </c>
      <c r="AP77" s="178" t="e">
        <f t="shared" si="20"/>
        <v>#VALUE!</v>
      </c>
      <c r="AQ77" s="237" t="str">
        <f t="shared" si="21"/>
        <v/>
      </c>
      <c r="AR77" s="220" t="s">
        <v>536</v>
      </c>
      <c r="AS77" s="345" t="s">
        <v>536</v>
      </c>
      <c r="AT77" s="221" t="s">
        <v>536</v>
      </c>
      <c r="AU77" s="221" t="s">
        <v>536</v>
      </c>
      <c r="AV77" s="221" t="s">
        <v>536</v>
      </c>
      <c r="AW77" s="221" t="s">
        <v>536</v>
      </c>
      <c r="AX77" s="222" t="s">
        <v>536</v>
      </c>
      <c r="BF77" s="241" t="str">
        <f t="shared" si="17"/>
        <v/>
      </c>
      <c r="BL77" s="241" t="str">
        <f t="shared" si="22"/>
        <v/>
      </c>
      <c r="BM77" s="241" t="str">
        <f t="shared" si="23"/>
        <v/>
      </c>
      <c r="BS77" s="247" t="str">
        <f t="shared" si="26"/>
        <v/>
      </c>
      <c r="BV77" s="242" t="str">
        <f t="shared" si="24"/>
        <v/>
      </c>
      <c r="BW77" s="248" t="str">
        <f t="shared" si="25"/>
        <v/>
      </c>
      <c r="CO77" s="228" t="s">
        <v>536</v>
      </c>
      <c r="CP77" s="228" t="s">
        <v>536</v>
      </c>
      <c r="CQ77" s="228" t="s">
        <v>536</v>
      </c>
      <c r="CR77" s="228" t="s">
        <v>536</v>
      </c>
    </row>
    <row r="78" spans="1:96" x14ac:dyDescent="0.3">
      <c r="A78" s="169">
        <v>76</v>
      </c>
      <c r="B78" s="169">
        <v>76</v>
      </c>
      <c r="G78" s="169" t="str">
        <f t="shared" si="16"/>
        <v xml:space="preserve">  </v>
      </c>
      <c r="H78" s="170"/>
      <c r="AI78" s="236">
        <f t="shared" si="18"/>
        <v>0</v>
      </c>
      <c r="AJ78" s="218"/>
      <c r="AM78" s="275" t="s">
        <v>536</v>
      </c>
      <c r="AO78" s="178">
        <f t="shared" si="19"/>
        <v>0</v>
      </c>
      <c r="AP78" s="178" t="e">
        <f t="shared" si="20"/>
        <v>#VALUE!</v>
      </c>
      <c r="AQ78" s="237" t="str">
        <f t="shared" si="21"/>
        <v/>
      </c>
      <c r="AR78" s="220" t="s">
        <v>536</v>
      </c>
      <c r="AS78" s="345" t="s">
        <v>536</v>
      </c>
      <c r="AT78" s="221" t="s">
        <v>536</v>
      </c>
      <c r="AU78" s="221" t="s">
        <v>536</v>
      </c>
      <c r="AV78" s="221" t="s">
        <v>536</v>
      </c>
      <c r="AW78" s="221" t="s">
        <v>536</v>
      </c>
      <c r="AX78" s="222" t="s">
        <v>536</v>
      </c>
      <c r="BF78" s="241" t="str">
        <f t="shared" si="17"/>
        <v/>
      </c>
      <c r="BL78" s="241" t="str">
        <f t="shared" si="22"/>
        <v/>
      </c>
      <c r="BM78" s="241" t="str">
        <f t="shared" si="23"/>
        <v/>
      </c>
      <c r="BS78" s="247" t="str">
        <f t="shared" si="26"/>
        <v/>
      </c>
      <c r="BV78" s="242" t="str">
        <f t="shared" si="24"/>
        <v/>
      </c>
      <c r="BW78" s="248" t="str">
        <f t="shared" si="25"/>
        <v/>
      </c>
      <c r="CO78" s="228" t="s">
        <v>536</v>
      </c>
      <c r="CP78" s="228" t="s">
        <v>536</v>
      </c>
      <c r="CQ78" s="228" t="s">
        <v>536</v>
      </c>
      <c r="CR78" s="228" t="s">
        <v>536</v>
      </c>
    </row>
    <row r="79" spans="1:96" x14ac:dyDescent="0.3">
      <c r="A79" s="169">
        <v>77</v>
      </c>
      <c r="B79" s="169">
        <v>77</v>
      </c>
      <c r="G79" s="169" t="str">
        <f t="shared" si="16"/>
        <v xml:space="preserve">  </v>
      </c>
      <c r="H79" s="170"/>
      <c r="AI79" s="236">
        <f t="shared" si="18"/>
        <v>0</v>
      </c>
      <c r="AJ79" s="218"/>
      <c r="AM79" s="275" t="s">
        <v>536</v>
      </c>
      <c r="AO79" s="178">
        <f t="shared" si="19"/>
        <v>0</v>
      </c>
      <c r="AP79" s="178" t="e">
        <f t="shared" si="20"/>
        <v>#VALUE!</v>
      </c>
      <c r="AQ79" s="237" t="str">
        <f t="shared" si="21"/>
        <v/>
      </c>
      <c r="AR79" s="220" t="s">
        <v>536</v>
      </c>
      <c r="AS79" s="345" t="s">
        <v>536</v>
      </c>
      <c r="AT79" s="221" t="s">
        <v>536</v>
      </c>
      <c r="AU79" s="221" t="s">
        <v>536</v>
      </c>
      <c r="AV79" s="221" t="s">
        <v>536</v>
      </c>
      <c r="AW79" s="221" t="s">
        <v>536</v>
      </c>
      <c r="AX79" s="222" t="s">
        <v>536</v>
      </c>
      <c r="BF79" s="241" t="str">
        <f t="shared" si="17"/>
        <v/>
      </c>
      <c r="BL79" s="241" t="str">
        <f t="shared" si="22"/>
        <v/>
      </c>
      <c r="BM79" s="241" t="str">
        <f t="shared" si="23"/>
        <v/>
      </c>
      <c r="BS79" s="247" t="str">
        <f t="shared" si="26"/>
        <v/>
      </c>
      <c r="BV79" s="242" t="str">
        <f t="shared" si="24"/>
        <v/>
      </c>
      <c r="BW79" s="248" t="str">
        <f t="shared" si="25"/>
        <v/>
      </c>
      <c r="CO79" s="228" t="s">
        <v>536</v>
      </c>
      <c r="CP79" s="228" t="s">
        <v>536</v>
      </c>
      <c r="CQ79" s="228" t="s">
        <v>536</v>
      </c>
      <c r="CR79" s="228" t="s">
        <v>536</v>
      </c>
    </row>
    <row r="80" spans="1:96" x14ac:dyDescent="0.3">
      <c r="A80" s="169">
        <v>78</v>
      </c>
      <c r="B80" s="169">
        <v>78</v>
      </c>
      <c r="G80" s="169" t="str">
        <f t="shared" si="16"/>
        <v xml:space="preserve">  </v>
      </c>
      <c r="H80" s="170"/>
      <c r="AI80" s="236">
        <f t="shared" si="18"/>
        <v>0</v>
      </c>
      <c r="AJ80" s="218"/>
      <c r="AM80" s="275" t="s">
        <v>536</v>
      </c>
      <c r="AO80" s="178">
        <f t="shared" si="19"/>
        <v>0</v>
      </c>
      <c r="AP80" s="178" t="e">
        <f t="shared" si="20"/>
        <v>#VALUE!</v>
      </c>
      <c r="AQ80" s="237" t="str">
        <f t="shared" si="21"/>
        <v/>
      </c>
      <c r="AR80" s="220" t="s">
        <v>536</v>
      </c>
      <c r="AS80" s="345" t="s">
        <v>536</v>
      </c>
      <c r="AT80" s="221" t="s">
        <v>536</v>
      </c>
      <c r="AU80" s="221" t="s">
        <v>536</v>
      </c>
      <c r="AV80" s="221" t="s">
        <v>536</v>
      </c>
      <c r="AW80" s="221" t="s">
        <v>536</v>
      </c>
      <c r="AX80" s="222" t="s">
        <v>536</v>
      </c>
      <c r="BF80" s="241" t="str">
        <f t="shared" ref="BF80:BF131" si="27">IF(BE80="","",BE80/2.14)</f>
        <v/>
      </c>
      <c r="BL80" s="241" t="str">
        <f t="shared" si="22"/>
        <v/>
      </c>
      <c r="BM80" s="241" t="str">
        <f t="shared" si="23"/>
        <v/>
      </c>
      <c r="BS80" s="247" t="str">
        <f t="shared" si="26"/>
        <v/>
      </c>
      <c r="BV80" s="242" t="str">
        <f t="shared" si="24"/>
        <v/>
      </c>
      <c r="BW80" s="248" t="str">
        <f t="shared" si="25"/>
        <v/>
      </c>
      <c r="CO80" s="228" t="s">
        <v>536</v>
      </c>
      <c r="CP80" s="228" t="s">
        <v>536</v>
      </c>
      <c r="CQ80" s="228" t="s">
        <v>536</v>
      </c>
      <c r="CR80" s="228" t="s">
        <v>536</v>
      </c>
    </row>
    <row r="81" spans="1:96" x14ac:dyDescent="0.3">
      <c r="A81" s="169">
        <v>79</v>
      </c>
      <c r="B81" s="169">
        <v>79</v>
      </c>
      <c r="G81" s="169" t="str">
        <f t="shared" si="16"/>
        <v xml:space="preserve">  </v>
      </c>
      <c r="H81" s="170"/>
      <c r="AI81" s="236">
        <f t="shared" ref="AI81:AI112" si="28">SUM(AA81:AH81)</f>
        <v>0</v>
      </c>
      <c r="AJ81" s="218"/>
      <c r="AM81" s="275" t="s">
        <v>536</v>
      </c>
      <c r="AO81" s="178">
        <f t="shared" si="19"/>
        <v>0</v>
      </c>
      <c r="AP81" s="178" t="e">
        <f t="shared" si="20"/>
        <v>#VALUE!</v>
      </c>
      <c r="AQ81" s="237" t="str">
        <f t="shared" si="21"/>
        <v/>
      </c>
      <c r="AR81" s="220" t="s">
        <v>536</v>
      </c>
      <c r="AS81" s="345" t="s">
        <v>536</v>
      </c>
      <c r="AT81" s="221" t="s">
        <v>536</v>
      </c>
      <c r="AU81" s="221" t="s">
        <v>536</v>
      </c>
      <c r="AV81" s="221" t="s">
        <v>536</v>
      </c>
      <c r="AW81" s="221" t="s">
        <v>536</v>
      </c>
      <c r="AX81" s="222" t="s">
        <v>536</v>
      </c>
      <c r="BF81" s="241" t="str">
        <f t="shared" si="27"/>
        <v/>
      </c>
      <c r="BL81" s="241" t="str">
        <f t="shared" si="22"/>
        <v/>
      </c>
      <c r="BM81" s="241" t="str">
        <f t="shared" si="23"/>
        <v/>
      </c>
      <c r="BS81" s="247" t="str">
        <f t="shared" si="26"/>
        <v/>
      </c>
      <c r="BV81" s="242" t="str">
        <f t="shared" si="24"/>
        <v/>
      </c>
      <c r="BW81" s="248" t="str">
        <f t="shared" si="25"/>
        <v/>
      </c>
      <c r="CO81" s="228" t="s">
        <v>536</v>
      </c>
      <c r="CP81" s="228" t="s">
        <v>536</v>
      </c>
      <c r="CQ81" s="228" t="s">
        <v>536</v>
      </c>
      <c r="CR81" s="228" t="s">
        <v>536</v>
      </c>
    </row>
    <row r="82" spans="1:96" x14ac:dyDescent="0.3">
      <c r="A82" s="169">
        <v>80</v>
      </c>
      <c r="B82" s="169">
        <v>80</v>
      </c>
      <c r="G82" s="169" t="str">
        <f t="shared" si="16"/>
        <v xml:space="preserve">  </v>
      </c>
      <c r="H82" s="170"/>
      <c r="AI82" s="236">
        <f t="shared" si="28"/>
        <v>0</v>
      </c>
      <c r="AJ82" s="218"/>
      <c r="AM82" s="275" t="s">
        <v>536</v>
      </c>
      <c r="AO82" s="178">
        <f t="shared" si="19"/>
        <v>0</v>
      </c>
      <c r="AP82" s="178" t="e">
        <f t="shared" si="20"/>
        <v>#VALUE!</v>
      </c>
      <c r="AQ82" s="237" t="str">
        <f t="shared" si="21"/>
        <v/>
      </c>
      <c r="AR82" s="220" t="s">
        <v>536</v>
      </c>
      <c r="AS82" s="345" t="s">
        <v>536</v>
      </c>
      <c r="AT82" s="221" t="s">
        <v>536</v>
      </c>
      <c r="AU82" s="221" t="s">
        <v>536</v>
      </c>
      <c r="AV82" s="221" t="s">
        <v>536</v>
      </c>
      <c r="AW82" s="221" t="s">
        <v>536</v>
      </c>
      <c r="AX82" s="222" t="s">
        <v>536</v>
      </c>
      <c r="BF82" s="241" t="str">
        <f t="shared" si="27"/>
        <v/>
      </c>
      <c r="BL82" s="241" t="str">
        <f t="shared" si="22"/>
        <v/>
      </c>
      <c r="BM82" s="241" t="str">
        <f t="shared" si="23"/>
        <v/>
      </c>
      <c r="BS82" s="247" t="str">
        <f t="shared" si="26"/>
        <v/>
      </c>
      <c r="BV82" s="242" t="str">
        <f t="shared" si="24"/>
        <v/>
      </c>
      <c r="BW82" s="248" t="str">
        <f t="shared" si="25"/>
        <v/>
      </c>
      <c r="CO82" s="228" t="s">
        <v>536</v>
      </c>
      <c r="CP82" s="228" t="s">
        <v>536</v>
      </c>
      <c r="CQ82" s="228" t="s">
        <v>536</v>
      </c>
      <c r="CR82" s="228" t="s">
        <v>536</v>
      </c>
    </row>
    <row r="83" spans="1:96" x14ac:dyDescent="0.3">
      <c r="A83" s="169">
        <v>81</v>
      </c>
      <c r="B83" s="169">
        <v>81</v>
      </c>
      <c r="G83" s="169" t="str">
        <f t="shared" si="16"/>
        <v xml:space="preserve">  </v>
      </c>
      <c r="H83" s="170"/>
      <c r="AI83" s="236">
        <f t="shared" si="28"/>
        <v>0</v>
      </c>
      <c r="AJ83" s="218"/>
      <c r="AM83" s="275" t="s">
        <v>536</v>
      </c>
      <c r="AO83" s="178">
        <f t="shared" si="19"/>
        <v>0</v>
      </c>
      <c r="AP83" s="178" t="e">
        <f t="shared" si="20"/>
        <v>#VALUE!</v>
      </c>
      <c r="AQ83" s="237" t="str">
        <f t="shared" si="21"/>
        <v/>
      </c>
      <c r="AR83" s="220" t="s">
        <v>536</v>
      </c>
      <c r="AS83" s="345" t="s">
        <v>536</v>
      </c>
      <c r="AT83" s="221" t="s">
        <v>536</v>
      </c>
      <c r="AU83" s="221" t="s">
        <v>536</v>
      </c>
      <c r="AV83" s="221" t="s">
        <v>536</v>
      </c>
      <c r="AW83" s="221" t="s">
        <v>536</v>
      </c>
      <c r="AX83" s="222" t="s">
        <v>536</v>
      </c>
      <c r="BF83" s="241" t="str">
        <f t="shared" si="27"/>
        <v/>
      </c>
      <c r="BL83" s="241" t="str">
        <f t="shared" si="22"/>
        <v/>
      </c>
      <c r="BM83" s="241" t="str">
        <f t="shared" si="23"/>
        <v/>
      </c>
      <c r="BS83" s="247" t="str">
        <f t="shared" si="26"/>
        <v/>
      </c>
      <c r="BV83" s="242" t="str">
        <f t="shared" si="24"/>
        <v/>
      </c>
      <c r="BW83" s="248" t="str">
        <f t="shared" si="25"/>
        <v/>
      </c>
      <c r="CO83" s="228" t="s">
        <v>536</v>
      </c>
      <c r="CP83" s="228" t="s">
        <v>536</v>
      </c>
      <c r="CQ83" s="228" t="s">
        <v>536</v>
      </c>
      <c r="CR83" s="228" t="s">
        <v>536</v>
      </c>
    </row>
    <row r="84" spans="1:96" x14ac:dyDescent="0.3">
      <c r="A84" s="169">
        <v>82</v>
      </c>
      <c r="B84" s="169">
        <v>82</v>
      </c>
      <c r="G84" s="169" t="str">
        <f t="shared" si="16"/>
        <v xml:space="preserve">  </v>
      </c>
      <c r="H84" s="170"/>
      <c r="AI84" s="236">
        <f t="shared" si="28"/>
        <v>0</v>
      </c>
      <c r="AJ84" s="218"/>
      <c r="AM84" s="275" t="s">
        <v>536</v>
      </c>
      <c r="AO84" s="178">
        <f t="shared" si="19"/>
        <v>0</v>
      </c>
      <c r="AP84" s="178" t="e">
        <f t="shared" si="20"/>
        <v>#VALUE!</v>
      </c>
      <c r="AQ84" s="237" t="str">
        <f t="shared" si="21"/>
        <v/>
      </c>
      <c r="AR84" s="220" t="s">
        <v>536</v>
      </c>
      <c r="AS84" s="345" t="s">
        <v>536</v>
      </c>
      <c r="AT84" s="221" t="s">
        <v>536</v>
      </c>
      <c r="AU84" s="221" t="s">
        <v>536</v>
      </c>
      <c r="AV84" s="221" t="s">
        <v>536</v>
      </c>
      <c r="AW84" s="221" t="s">
        <v>536</v>
      </c>
      <c r="AX84" s="222" t="s">
        <v>536</v>
      </c>
      <c r="BF84" s="241" t="str">
        <f t="shared" si="27"/>
        <v/>
      </c>
      <c r="BL84" s="241" t="str">
        <f t="shared" si="22"/>
        <v/>
      </c>
      <c r="BM84" s="241" t="str">
        <f t="shared" si="23"/>
        <v/>
      </c>
      <c r="BS84" s="247" t="str">
        <f t="shared" si="26"/>
        <v/>
      </c>
      <c r="BV84" s="242" t="str">
        <f t="shared" si="24"/>
        <v/>
      </c>
      <c r="BW84" s="248" t="str">
        <f t="shared" si="25"/>
        <v/>
      </c>
      <c r="CO84" s="228" t="s">
        <v>536</v>
      </c>
      <c r="CP84" s="228" t="s">
        <v>536</v>
      </c>
      <c r="CQ84" s="228" t="s">
        <v>536</v>
      </c>
      <c r="CR84" s="228" t="s">
        <v>536</v>
      </c>
    </row>
    <row r="85" spans="1:96" x14ac:dyDescent="0.3">
      <c r="A85" s="169">
        <v>83</v>
      </c>
      <c r="B85" s="169">
        <v>83</v>
      </c>
      <c r="G85" s="169" t="str">
        <f t="shared" si="16"/>
        <v xml:space="preserve">  </v>
      </c>
      <c r="H85" s="170"/>
      <c r="AI85" s="236">
        <f t="shared" si="28"/>
        <v>0</v>
      </c>
      <c r="AJ85" s="218"/>
      <c r="AM85" s="275" t="s">
        <v>536</v>
      </c>
      <c r="AO85" s="178">
        <f t="shared" si="19"/>
        <v>0</v>
      </c>
      <c r="AP85" s="178" t="e">
        <f t="shared" si="20"/>
        <v>#VALUE!</v>
      </c>
      <c r="AQ85" s="237" t="str">
        <f t="shared" si="21"/>
        <v/>
      </c>
      <c r="AR85" s="220" t="s">
        <v>536</v>
      </c>
      <c r="AS85" s="345" t="s">
        <v>536</v>
      </c>
      <c r="AT85" s="221" t="s">
        <v>536</v>
      </c>
      <c r="AU85" s="221" t="s">
        <v>536</v>
      </c>
      <c r="AV85" s="221" t="s">
        <v>536</v>
      </c>
      <c r="AW85" s="221" t="s">
        <v>536</v>
      </c>
      <c r="AX85" s="222" t="s">
        <v>536</v>
      </c>
      <c r="BF85" s="241" t="str">
        <f t="shared" si="27"/>
        <v/>
      </c>
      <c r="BL85" s="241" t="str">
        <f t="shared" si="22"/>
        <v/>
      </c>
      <c r="BM85" s="241" t="str">
        <f t="shared" si="23"/>
        <v/>
      </c>
      <c r="BS85" s="247" t="str">
        <f t="shared" si="26"/>
        <v/>
      </c>
      <c r="BV85" s="242" t="str">
        <f t="shared" si="24"/>
        <v/>
      </c>
      <c r="BW85" s="248" t="str">
        <f t="shared" si="25"/>
        <v/>
      </c>
      <c r="CO85" s="228" t="s">
        <v>536</v>
      </c>
      <c r="CP85" s="228" t="s">
        <v>536</v>
      </c>
      <c r="CQ85" s="228" t="s">
        <v>536</v>
      </c>
      <c r="CR85" s="228" t="s">
        <v>536</v>
      </c>
    </row>
    <row r="86" spans="1:96" x14ac:dyDescent="0.3">
      <c r="A86" s="169">
        <v>84</v>
      </c>
      <c r="B86" s="169">
        <v>84</v>
      </c>
      <c r="G86" s="169" t="str">
        <f t="shared" si="16"/>
        <v xml:space="preserve">  </v>
      </c>
      <c r="H86" s="170"/>
      <c r="AI86" s="236">
        <f t="shared" si="28"/>
        <v>0</v>
      </c>
      <c r="AJ86" s="218"/>
      <c r="AM86" s="275" t="s">
        <v>536</v>
      </c>
      <c r="AO86" s="178">
        <f t="shared" si="19"/>
        <v>0</v>
      </c>
      <c r="AP86" s="178" t="e">
        <f t="shared" si="20"/>
        <v>#VALUE!</v>
      </c>
      <c r="AQ86" s="237" t="str">
        <f t="shared" si="21"/>
        <v/>
      </c>
      <c r="AR86" s="220" t="s">
        <v>536</v>
      </c>
      <c r="AS86" s="345" t="s">
        <v>536</v>
      </c>
      <c r="AT86" s="221" t="s">
        <v>536</v>
      </c>
      <c r="AU86" s="221" t="s">
        <v>536</v>
      </c>
      <c r="AV86" s="221" t="s">
        <v>536</v>
      </c>
      <c r="AW86" s="221" t="s">
        <v>536</v>
      </c>
      <c r="AX86" s="222" t="s">
        <v>536</v>
      </c>
      <c r="BF86" s="241" t="str">
        <f t="shared" si="27"/>
        <v/>
      </c>
      <c r="BL86" s="241" t="str">
        <f t="shared" si="22"/>
        <v/>
      </c>
      <c r="BM86" s="241" t="str">
        <f t="shared" si="23"/>
        <v/>
      </c>
      <c r="BS86" s="247" t="str">
        <f t="shared" si="26"/>
        <v/>
      </c>
      <c r="BV86" s="242" t="str">
        <f t="shared" si="24"/>
        <v/>
      </c>
      <c r="BW86" s="248" t="str">
        <f t="shared" si="25"/>
        <v/>
      </c>
      <c r="CO86" s="228" t="s">
        <v>536</v>
      </c>
      <c r="CP86" s="228" t="s">
        <v>536</v>
      </c>
      <c r="CQ86" s="228" t="s">
        <v>536</v>
      </c>
      <c r="CR86" s="228" t="s">
        <v>536</v>
      </c>
    </row>
    <row r="87" spans="1:96" x14ac:dyDescent="0.3">
      <c r="A87" s="169">
        <v>85</v>
      </c>
      <c r="B87" s="169">
        <v>85</v>
      </c>
      <c r="G87" s="169" t="str">
        <f t="shared" si="16"/>
        <v xml:space="preserve">  </v>
      </c>
      <c r="H87" s="170"/>
      <c r="AI87" s="236">
        <f t="shared" si="28"/>
        <v>0</v>
      </c>
      <c r="AJ87" s="218"/>
      <c r="AM87" s="275" t="s">
        <v>536</v>
      </c>
      <c r="AO87" s="178">
        <f t="shared" si="19"/>
        <v>0</v>
      </c>
      <c r="AP87" s="178" t="e">
        <f t="shared" si="20"/>
        <v>#VALUE!</v>
      </c>
      <c r="AQ87" s="237" t="str">
        <f t="shared" si="21"/>
        <v/>
      </c>
      <c r="AR87" s="220" t="s">
        <v>536</v>
      </c>
      <c r="AS87" s="345" t="s">
        <v>536</v>
      </c>
      <c r="AT87" s="221" t="s">
        <v>536</v>
      </c>
      <c r="AU87" s="221" t="s">
        <v>536</v>
      </c>
      <c r="AV87" s="221" t="s">
        <v>536</v>
      </c>
      <c r="AW87" s="221" t="s">
        <v>536</v>
      </c>
      <c r="AX87" s="222" t="s">
        <v>536</v>
      </c>
      <c r="BF87" s="241" t="str">
        <f t="shared" si="27"/>
        <v/>
      </c>
      <c r="BL87" s="241" t="str">
        <f t="shared" si="22"/>
        <v/>
      </c>
      <c r="BM87" s="241" t="str">
        <f t="shared" si="23"/>
        <v/>
      </c>
      <c r="BS87" s="247" t="str">
        <f t="shared" si="26"/>
        <v/>
      </c>
      <c r="BV87" s="242" t="str">
        <f t="shared" si="24"/>
        <v/>
      </c>
      <c r="BW87" s="248" t="str">
        <f t="shared" si="25"/>
        <v/>
      </c>
      <c r="CO87" s="228" t="s">
        <v>536</v>
      </c>
      <c r="CP87" s="228" t="s">
        <v>536</v>
      </c>
      <c r="CQ87" s="228" t="s">
        <v>536</v>
      </c>
      <c r="CR87" s="228" t="s">
        <v>536</v>
      </c>
    </row>
    <row r="88" spans="1:96" x14ac:dyDescent="0.3">
      <c r="A88" s="169">
        <v>86</v>
      </c>
      <c r="B88" s="169">
        <v>86</v>
      </c>
      <c r="G88" s="169" t="str">
        <f t="shared" si="16"/>
        <v xml:space="preserve">  </v>
      </c>
      <c r="H88" s="170"/>
      <c r="AI88" s="236">
        <f t="shared" si="28"/>
        <v>0</v>
      </c>
      <c r="AJ88" s="218"/>
      <c r="AM88" s="275" t="s">
        <v>536</v>
      </c>
      <c r="AO88" s="178">
        <f t="shared" si="19"/>
        <v>0</v>
      </c>
      <c r="AP88" s="178" t="e">
        <f t="shared" si="20"/>
        <v>#VALUE!</v>
      </c>
      <c r="AQ88" s="237" t="str">
        <f t="shared" si="21"/>
        <v/>
      </c>
      <c r="AR88" s="220" t="s">
        <v>536</v>
      </c>
      <c r="AS88" s="345" t="s">
        <v>536</v>
      </c>
      <c r="AT88" s="221" t="s">
        <v>536</v>
      </c>
      <c r="AU88" s="221" t="s">
        <v>536</v>
      </c>
      <c r="AV88" s="221" t="s">
        <v>536</v>
      </c>
      <c r="AW88" s="221" t="s">
        <v>536</v>
      </c>
      <c r="AX88" s="222" t="s">
        <v>536</v>
      </c>
      <c r="BF88" s="241" t="str">
        <f t="shared" si="27"/>
        <v/>
      </c>
      <c r="BL88" s="241" t="str">
        <f t="shared" si="22"/>
        <v/>
      </c>
      <c r="BM88" s="241" t="str">
        <f t="shared" si="23"/>
        <v/>
      </c>
      <c r="BS88" s="247" t="str">
        <f t="shared" si="26"/>
        <v/>
      </c>
      <c r="BV88" s="242" t="str">
        <f t="shared" si="24"/>
        <v/>
      </c>
      <c r="BW88" s="248" t="str">
        <f t="shared" si="25"/>
        <v/>
      </c>
      <c r="CO88" s="228" t="s">
        <v>536</v>
      </c>
      <c r="CP88" s="228" t="s">
        <v>536</v>
      </c>
      <c r="CQ88" s="228" t="s">
        <v>536</v>
      </c>
      <c r="CR88" s="228" t="s">
        <v>536</v>
      </c>
    </row>
    <row r="89" spans="1:96" x14ac:dyDescent="0.3">
      <c r="A89" s="169">
        <v>87</v>
      </c>
      <c r="B89" s="169">
        <v>87</v>
      </c>
      <c r="G89" s="169" t="str">
        <f t="shared" si="16"/>
        <v xml:space="preserve">  </v>
      </c>
      <c r="H89" s="170"/>
      <c r="AI89" s="236">
        <f t="shared" si="28"/>
        <v>0</v>
      </c>
      <c r="AJ89" s="218"/>
      <c r="AM89" s="275" t="s">
        <v>536</v>
      </c>
      <c r="AO89" s="178">
        <f t="shared" si="19"/>
        <v>0</v>
      </c>
      <c r="AP89" s="178" t="e">
        <f t="shared" si="20"/>
        <v>#VALUE!</v>
      </c>
      <c r="AQ89" s="237" t="str">
        <f t="shared" si="21"/>
        <v/>
      </c>
      <c r="AR89" s="220" t="s">
        <v>536</v>
      </c>
      <c r="AS89" s="345" t="s">
        <v>536</v>
      </c>
      <c r="AT89" s="221" t="s">
        <v>536</v>
      </c>
      <c r="AU89" s="221" t="s">
        <v>536</v>
      </c>
      <c r="AV89" s="221" t="s">
        <v>536</v>
      </c>
      <c r="AW89" s="221" t="s">
        <v>536</v>
      </c>
      <c r="AX89" s="222" t="s">
        <v>536</v>
      </c>
      <c r="BF89" s="241" t="str">
        <f t="shared" si="27"/>
        <v/>
      </c>
      <c r="BL89" s="241" t="str">
        <f t="shared" si="22"/>
        <v/>
      </c>
      <c r="BM89" s="241" t="str">
        <f t="shared" si="23"/>
        <v/>
      </c>
      <c r="BS89" s="247" t="str">
        <f t="shared" si="26"/>
        <v/>
      </c>
      <c r="BV89" s="242" t="str">
        <f t="shared" si="24"/>
        <v/>
      </c>
      <c r="BW89" s="248" t="str">
        <f t="shared" si="25"/>
        <v/>
      </c>
      <c r="CO89" s="228" t="s">
        <v>536</v>
      </c>
      <c r="CP89" s="228" t="s">
        <v>536</v>
      </c>
      <c r="CQ89" s="228" t="s">
        <v>536</v>
      </c>
      <c r="CR89" s="228" t="s">
        <v>536</v>
      </c>
    </row>
    <row r="90" spans="1:96" x14ac:dyDescent="0.3">
      <c r="A90" s="169">
        <v>88</v>
      </c>
      <c r="B90" s="169">
        <v>88</v>
      </c>
      <c r="G90" s="169" t="str">
        <f t="shared" si="16"/>
        <v xml:space="preserve">  </v>
      </c>
      <c r="H90" s="170"/>
      <c r="AI90" s="236">
        <f t="shared" si="28"/>
        <v>0</v>
      </c>
      <c r="AJ90" s="218"/>
      <c r="AM90" s="275" t="s">
        <v>536</v>
      </c>
      <c r="AO90" s="178">
        <f t="shared" si="19"/>
        <v>0</v>
      </c>
      <c r="AP90" s="178" t="e">
        <f t="shared" si="20"/>
        <v>#VALUE!</v>
      </c>
      <c r="AQ90" s="237" t="str">
        <f t="shared" si="21"/>
        <v/>
      </c>
      <c r="AR90" s="220" t="s">
        <v>536</v>
      </c>
      <c r="AS90" s="345" t="s">
        <v>536</v>
      </c>
      <c r="AT90" s="221" t="s">
        <v>536</v>
      </c>
      <c r="AU90" s="221" t="s">
        <v>536</v>
      </c>
      <c r="AV90" s="221" t="s">
        <v>536</v>
      </c>
      <c r="AW90" s="221" t="s">
        <v>536</v>
      </c>
      <c r="AX90" s="222" t="s">
        <v>536</v>
      </c>
      <c r="BF90" s="241" t="str">
        <f t="shared" si="27"/>
        <v/>
      </c>
      <c r="BL90" s="241" t="str">
        <f t="shared" si="22"/>
        <v/>
      </c>
      <c r="BM90" s="241" t="str">
        <f t="shared" si="23"/>
        <v/>
      </c>
      <c r="BS90" s="247" t="str">
        <f t="shared" si="26"/>
        <v/>
      </c>
      <c r="BV90" s="242" t="str">
        <f t="shared" si="24"/>
        <v/>
      </c>
      <c r="BW90" s="248" t="str">
        <f t="shared" si="25"/>
        <v/>
      </c>
      <c r="CO90" s="228" t="s">
        <v>536</v>
      </c>
      <c r="CP90" s="228" t="s">
        <v>536</v>
      </c>
      <c r="CQ90" s="228" t="s">
        <v>536</v>
      </c>
      <c r="CR90" s="228" t="s">
        <v>536</v>
      </c>
    </row>
    <row r="91" spans="1:96" x14ac:dyDescent="0.3">
      <c r="A91" s="169">
        <v>89</v>
      </c>
      <c r="B91" s="169">
        <v>89</v>
      </c>
      <c r="G91" s="169" t="str">
        <f t="shared" si="16"/>
        <v xml:space="preserve">  </v>
      </c>
      <c r="H91" s="170"/>
      <c r="AI91" s="236">
        <f t="shared" si="28"/>
        <v>0</v>
      </c>
      <c r="AJ91" s="218"/>
      <c r="AM91" s="275" t="s">
        <v>536</v>
      </c>
      <c r="AO91" s="178">
        <f t="shared" si="19"/>
        <v>0</v>
      </c>
      <c r="AP91" s="178" t="e">
        <f t="shared" si="20"/>
        <v>#VALUE!</v>
      </c>
      <c r="AQ91" s="237" t="str">
        <f t="shared" si="21"/>
        <v/>
      </c>
      <c r="AR91" s="220" t="s">
        <v>536</v>
      </c>
      <c r="AS91" s="345" t="s">
        <v>536</v>
      </c>
      <c r="AT91" s="221" t="s">
        <v>536</v>
      </c>
      <c r="AU91" s="221" t="s">
        <v>536</v>
      </c>
      <c r="AV91" s="221" t="s">
        <v>536</v>
      </c>
      <c r="AW91" s="221" t="s">
        <v>536</v>
      </c>
      <c r="AX91" s="222" t="s">
        <v>536</v>
      </c>
      <c r="BF91" s="241" t="str">
        <f t="shared" si="27"/>
        <v/>
      </c>
      <c r="BL91" s="241" t="str">
        <f t="shared" si="22"/>
        <v/>
      </c>
      <c r="BM91" s="241" t="str">
        <f t="shared" si="23"/>
        <v/>
      </c>
      <c r="BS91" s="247" t="str">
        <f t="shared" si="26"/>
        <v/>
      </c>
      <c r="BV91" s="242" t="str">
        <f t="shared" si="24"/>
        <v/>
      </c>
      <c r="BW91" s="248" t="str">
        <f t="shared" si="25"/>
        <v/>
      </c>
      <c r="CO91" s="228" t="s">
        <v>536</v>
      </c>
      <c r="CP91" s="228" t="s">
        <v>536</v>
      </c>
      <c r="CQ91" s="228" t="s">
        <v>536</v>
      </c>
      <c r="CR91" s="228" t="s">
        <v>536</v>
      </c>
    </row>
    <row r="92" spans="1:96" x14ac:dyDescent="0.3">
      <c r="A92" s="169">
        <v>90</v>
      </c>
      <c r="B92" s="169">
        <v>90</v>
      </c>
      <c r="G92" s="169" t="str">
        <f t="shared" si="16"/>
        <v xml:space="preserve">  </v>
      </c>
      <c r="H92" s="170"/>
      <c r="AI92" s="236">
        <f t="shared" si="28"/>
        <v>0</v>
      </c>
      <c r="AJ92" s="218"/>
      <c r="AM92" s="275" t="s">
        <v>536</v>
      </c>
      <c r="AO92" s="178">
        <f t="shared" si="19"/>
        <v>0</v>
      </c>
      <c r="AP92" s="178" t="e">
        <f t="shared" si="20"/>
        <v>#VALUE!</v>
      </c>
      <c r="AQ92" s="237" t="str">
        <f t="shared" si="21"/>
        <v/>
      </c>
      <c r="AR92" s="220" t="s">
        <v>536</v>
      </c>
      <c r="AS92" s="345" t="s">
        <v>536</v>
      </c>
      <c r="AT92" s="221" t="s">
        <v>536</v>
      </c>
      <c r="AU92" s="221" t="s">
        <v>536</v>
      </c>
      <c r="AV92" s="221" t="s">
        <v>536</v>
      </c>
      <c r="AW92" s="221" t="s">
        <v>536</v>
      </c>
      <c r="AX92" s="222" t="s">
        <v>536</v>
      </c>
      <c r="BF92" s="241" t="str">
        <f t="shared" si="27"/>
        <v/>
      </c>
      <c r="BL92" s="241" t="str">
        <f t="shared" si="22"/>
        <v/>
      </c>
      <c r="BM92" s="241" t="str">
        <f t="shared" si="23"/>
        <v/>
      </c>
      <c r="BS92" s="247" t="str">
        <f t="shared" si="26"/>
        <v/>
      </c>
      <c r="BV92" s="242" t="str">
        <f t="shared" si="24"/>
        <v/>
      </c>
      <c r="BW92" s="248" t="str">
        <f t="shared" si="25"/>
        <v/>
      </c>
      <c r="CO92" s="228" t="s">
        <v>536</v>
      </c>
      <c r="CP92" s="228" t="s">
        <v>536</v>
      </c>
      <c r="CQ92" s="228" t="s">
        <v>536</v>
      </c>
      <c r="CR92" s="228" t="s">
        <v>536</v>
      </c>
    </row>
    <row r="93" spans="1:96" x14ac:dyDescent="0.3">
      <c r="A93" s="169">
        <v>91</v>
      </c>
      <c r="B93" s="169">
        <v>91</v>
      </c>
      <c r="G93" s="169" t="str">
        <f t="shared" si="16"/>
        <v xml:space="preserve">  </v>
      </c>
      <c r="H93" s="170"/>
      <c r="AI93" s="236">
        <f t="shared" si="28"/>
        <v>0</v>
      </c>
      <c r="AJ93" s="218"/>
      <c r="AM93" s="275" t="s">
        <v>536</v>
      </c>
      <c r="AO93" s="178">
        <f t="shared" si="19"/>
        <v>0</v>
      </c>
      <c r="AP93" s="178" t="e">
        <f t="shared" si="20"/>
        <v>#VALUE!</v>
      </c>
      <c r="AQ93" s="237" t="str">
        <f t="shared" si="21"/>
        <v/>
      </c>
      <c r="AR93" s="220" t="s">
        <v>536</v>
      </c>
      <c r="AS93" s="345" t="s">
        <v>536</v>
      </c>
      <c r="AT93" s="221" t="s">
        <v>536</v>
      </c>
      <c r="AU93" s="221" t="s">
        <v>536</v>
      </c>
      <c r="AV93" s="221" t="s">
        <v>536</v>
      </c>
      <c r="AW93" s="221" t="s">
        <v>536</v>
      </c>
      <c r="AX93" s="222" t="s">
        <v>536</v>
      </c>
      <c r="BF93" s="241" t="str">
        <f t="shared" si="27"/>
        <v/>
      </c>
      <c r="BL93" s="241" t="str">
        <f t="shared" si="22"/>
        <v/>
      </c>
      <c r="BM93" s="241" t="str">
        <f t="shared" si="23"/>
        <v/>
      </c>
      <c r="BS93" s="247" t="str">
        <f t="shared" si="26"/>
        <v/>
      </c>
      <c r="BV93" s="242" t="str">
        <f t="shared" si="24"/>
        <v/>
      </c>
      <c r="BW93" s="248" t="str">
        <f t="shared" si="25"/>
        <v/>
      </c>
      <c r="CO93" s="228" t="s">
        <v>536</v>
      </c>
      <c r="CP93" s="228" t="s">
        <v>536</v>
      </c>
      <c r="CQ93" s="228" t="s">
        <v>536</v>
      </c>
      <c r="CR93" s="228" t="s">
        <v>536</v>
      </c>
    </row>
    <row r="94" spans="1:96" x14ac:dyDescent="0.3">
      <c r="A94" s="169">
        <v>92</v>
      </c>
      <c r="B94" s="169">
        <v>92</v>
      </c>
      <c r="G94" s="169" t="str">
        <f t="shared" si="16"/>
        <v xml:space="preserve">  </v>
      </c>
      <c r="H94" s="170"/>
      <c r="AI94" s="236">
        <f t="shared" si="28"/>
        <v>0</v>
      </c>
      <c r="AJ94" s="218"/>
      <c r="AM94" s="275" t="s">
        <v>536</v>
      </c>
      <c r="AO94" s="178">
        <f t="shared" si="19"/>
        <v>0</v>
      </c>
      <c r="AP94" s="178" t="e">
        <f t="shared" si="20"/>
        <v>#VALUE!</v>
      </c>
      <c r="AQ94" s="237" t="str">
        <f t="shared" si="21"/>
        <v/>
      </c>
      <c r="AR94" s="220" t="s">
        <v>536</v>
      </c>
      <c r="AS94" s="345" t="s">
        <v>536</v>
      </c>
      <c r="AT94" s="221" t="s">
        <v>536</v>
      </c>
      <c r="AU94" s="221" t="s">
        <v>536</v>
      </c>
      <c r="AV94" s="221" t="s">
        <v>536</v>
      </c>
      <c r="AW94" s="221" t="s">
        <v>536</v>
      </c>
      <c r="AX94" s="222" t="s">
        <v>536</v>
      </c>
      <c r="BF94" s="241" t="str">
        <f t="shared" si="27"/>
        <v/>
      </c>
      <c r="BL94" s="241" t="str">
        <f t="shared" si="22"/>
        <v/>
      </c>
      <c r="BM94" s="241" t="str">
        <f t="shared" si="23"/>
        <v/>
      </c>
      <c r="BS94" s="247" t="str">
        <f t="shared" si="26"/>
        <v/>
      </c>
      <c r="BV94" s="242" t="str">
        <f t="shared" si="24"/>
        <v/>
      </c>
      <c r="BW94" s="248" t="str">
        <f t="shared" si="25"/>
        <v/>
      </c>
      <c r="CO94" s="228" t="s">
        <v>536</v>
      </c>
      <c r="CP94" s="228" t="s">
        <v>536</v>
      </c>
      <c r="CQ94" s="228" t="s">
        <v>536</v>
      </c>
      <c r="CR94" s="228" t="s">
        <v>536</v>
      </c>
    </row>
    <row r="95" spans="1:96" x14ac:dyDescent="0.3">
      <c r="A95" s="169">
        <v>93</v>
      </c>
      <c r="B95" s="169">
        <v>93</v>
      </c>
      <c r="G95" s="169" t="str">
        <f t="shared" si="16"/>
        <v xml:space="preserve">  </v>
      </c>
      <c r="H95" s="170"/>
      <c r="AI95" s="236">
        <f t="shared" si="28"/>
        <v>0</v>
      </c>
      <c r="AJ95" s="218"/>
      <c r="AM95" s="275" t="s">
        <v>536</v>
      </c>
      <c r="AO95" s="178">
        <f t="shared" si="19"/>
        <v>0</v>
      </c>
      <c r="AP95" s="178" t="e">
        <f t="shared" si="20"/>
        <v>#VALUE!</v>
      </c>
      <c r="AQ95" s="237" t="str">
        <f t="shared" si="21"/>
        <v/>
      </c>
      <c r="AR95" s="220" t="s">
        <v>536</v>
      </c>
      <c r="AS95" s="345" t="s">
        <v>536</v>
      </c>
      <c r="AT95" s="221" t="s">
        <v>536</v>
      </c>
      <c r="AU95" s="221" t="s">
        <v>536</v>
      </c>
      <c r="AV95" s="221" t="s">
        <v>536</v>
      </c>
      <c r="AW95" s="221" t="s">
        <v>536</v>
      </c>
      <c r="AX95" s="222" t="s">
        <v>536</v>
      </c>
      <c r="BF95" s="241" t="str">
        <f t="shared" si="27"/>
        <v/>
      </c>
      <c r="BL95" s="241" t="str">
        <f t="shared" si="22"/>
        <v/>
      </c>
      <c r="BM95" s="241" t="str">
        <f t="shared" si="23"/>
        <v/>
      </c>
      <c r="BS95" s="247" t="str">
        <f t="shared" si="26"/>
        <v/>
      </c>
      <c r="BV95" s="242" t="str">
        <f t="shared" si="24"/>
        <v/>
      </c>
      <c r="BW95" s="248" t="str">
        <f t="shared" si="25"/>
        <v/>
      </c>
      <c r="CO95" s="228" t="s">
        <v>536</v>
      </c>
      <c r="CP95" s="228" t="s">
        <v>536</v>
      </c>
      <c r="CQ95" s="228" t="s">
        <v>536</v>
      </c>
      <c r="CR95" s="228" t="s">
        <v>536</v>
      </c>
    </row>
    <row r="96" spans="1:96" x14ac:dyDescent="0.3">
      <c r="A96" s="169">
        <v>94</v>
      </c>
      <c r="B96" s="169">
        <v>94</v>
      </c>
      <c r="G96" s="169" t="str">
        <f t="shared" si="16"/>
        <v xml:space="preserve">  </v>
      </c>
      <c r="H96" s="170"/>
      <c r="AI96" s="236">
        <f t="shared" si="28"/>
        <v>0</v>
      </c>
      <c r="AJ96" s="218"/>
      <c r="AM96" s="275" t="s">
        <v>536</v>
      </c>
      <c r="AO96" s="178">
        <f t="shared" si="19"/>
        <v>0</v>
      </c>
      <c r="AP96" s="178" t="e">
        <f t="shared" si="20"/>
        <v>#VALUE!</v>
      </c>
      <c r="AQ96" s="237" t="str">
        <f t="shared" si="21"/>
        <v/>
      </c>
      <c r="AR96" s="220" t="s">
        <v>536</v>
      </c>
      <c r="AS96" s="345" t="s">
        <v>536</v>
      </c>
      <c r="AT96" s="221" t="s">
        <v>536</v>
      </c>
      <c r="AU96" s="221" t="s">
        <v>536</v>
      </c>
      <c r="AV96" s="221" t="s">
        <v>536</v>
      </c>
      <c r="AW96" s="221" t="s">
        <v>536</v>
      </c>
      <c r="AX96" s="222" t="s">
        <v>536</v>
      </c>
      <c r="BF96" s="241" t="str">
        <f t="shared" si="27"/>
        <v/>
      </c>
      <c r="BL96" s="241" t="str">
        <f t="shared" si="22"/>
        <v/>
      </c>
      <c r="BM96" s="241" t="str">
        <f t="shared" si="23"/>
        <v/>
      </c>
      <c r="BS96" s="247" t="str">
        <f t="shared" si="26"/>
        <v/>
      </c>
      <c r="BV96" s="242" t="str">
        <f t="shared" si="24"/>
        <v/>
      </c>
      <c r="BW96" s="248" t="str">
        <f t="shared" si="25"/>
        <v/>
      </c>
      <c r="CO96" s="228" t="s">
        <v>536</v>
      </c>
      <c r="CP96" s="228" t="s">
        <v>536</v>
      </c>
      <c r="CQ96" s="228" t="s">
        <v>536</v>
      </c>
      <c r="CR96" s="228" t="s">
        <v>536</v>
      </c>
    </row>
    <row r="97" spans="1:123" x14ac:dyDescent="0.3">
      <c r="A97" s="169">
        <v>95</v>
      </c>
      <c r="B97" s="169">
        <v>95</v>
      </c>
      <c r="G97" s="169" t="str">
        <f t="shared" si="16"/>
        <v xml:space="preserve">  </v>
      </c>
      <c r="H97" s="170"/>
      <c r="AI97" s="236">
        <f t="shared" si="28"/>
        <v>0</v>
      </c>
      <c r="AJ97" s="218"/>
      <c r="AM97" s="275" t="s">
        <v>536</v>
      </c>
      <c r="AO97" s="178">
        <f t="shared" si="19"/>
        <v>0</v>
      </c>
      <c r="AP97" s="178" t="e">
        <f t="shared" si="20"/>
        <v>#VALUE!</v>
      </c>
      <c r="AQ97" s="237" t="str">
        <f t="shared" si="21"/>
        <v/>
      </c>
      <c r="AR97" s="220" t="s">
        <v>536</v>
      </c>
      <c r="AS97" s="345" t="s">
        <v>536</v>
      </c>
      <c r="AT97" s="221" t="s">
        <v>536</v>
      </c>
      <c r="AU97" s="221" t="s">
        <v>536</v>
      </c>
      <c r="AV97" s="221" t="s">
        <v>536</v>
      </c>
      <c r="AW97" s="221" t="s">
        <v>536</v>
      </c>
      <c r="AX97" s="222" t="s">
        <v>536</v>
      </c>
      <c r="BF97" s="241" t="str">
        <f t="shared" si="27"/>
        <v/>
      </c>
      <c r="BL97" s="241" t="str">
        <f t="shared" si="22"/>
        <v/>
      </c>
      <c r="BM97" s="241" t="str">
        <f t="shared" si="23"/>
        <v/>
      </c>
      <c r="BS97" s="247" t="str">
        <f t="shared" si="26"/>
        <v/>
      </c>
      <c r="BV97" s="242" t="str">
        <f t="shared" si="24"/>
        <v/>
      </c>
      <c r="BW97" s="248" t="str">
        <f t="shared" si="25"/>
        <v/>
      </c>
      <c r="CO97" s="228" t="s">
        <v>536</v>
      </c>
      <c r="CP97" s="228" t="s">
        <v>536</v>
      </c>
      <c r="CQ97" s="228" t="s">
        <v>536</v>
      </c>
      <c r="CR97" s="228" t="s">
        <v>536</v>
      </c>
    </row>
    <row r="98" spans="1:123" x14ac:dyDescent="0.3">
      <c r="A98" s="169">
        <v>96</v>
      </c>
      <c r="B98" s="169">
        <v>96</v>
      </c>
      <c r="G98" s="169" t="str">
        <f t="shared" si="16"/>
        <v xml:space="preserve">  </v>
      </c>
      <c r="H98" s="170"/>
      <c r="AI98" s="236">
        <f t="shared" si="28"/>
        <v>0</v>
      </c>
      <c r="AJ98" s="218"/>
      <c r="AM98" s="275" t="s">
        <v>536</v>
      </c>
      <c r="AO98" s="178">
        <f t="shared" si="19"/>
        <v>0</v>
      </c>
      <c r="AP98" s="178" t="e">
        <f t="shared" si="20"/>
        <v>#VALUE!</v>
      </c>
      <c r="AQ98" s="237" t="str">
        <f t="shared" si="21"/>
        <v/>
      </c>
      <c r="AR98" s="220" t="s">
        <v>536</v>
      </c>
      <c r="AS98" s="345" t="s">
        <v>536</v>
      </c>
      <c r="AT98" s="221" t="s">
        <v>536</v>
      </c>
      <c r="AU98" s="221" t="s">
        <v>536</v>
      </c>
      <c r="AV98" s="221" t="s">
        <v>536</v>
      </c>
      <c r="AW98" s="221" t="s">
        <v>536</v>
      </c>
      <c r="AX98" s="222" t="s">
        <v>536</v>
      </c>
      <c r="BF98" s="241" t="str">
        <f t="shared" si="27"/>
        <v/>
      </c>
      <c r="BL98" s="241" t="str">
        <f t="shared" si="22"/>
        <v/>
      </c>
      <c r="BM98" s="241" t="str">
        <f t="shared" si="23"/>
        <v/>
      </c>
      <c r="BS98" s="247" t="str">
        <f t="shared" si="26"/>
        <v/>
      </c>
      <c r="BV98" s="242" t="str">
        <f t="shared" si="24"/>
        <v/>
      </c>
      <c r="BW98" s="248" t="str">
        <f t="shared" si="25"/>
        <v/>
      </c>
      <c r="CO98" s="228" t="s">
        <v>536</v>
      </c>
      <c r="CP98" s="228" t="s">
        <v>536</v>
      </c>
      <c r="CQ98" s="228" t="s">
        <v>536</v>
      </c>
      <c r="CR98" s="228" t="s">
        <v>536</v>
      </c>
    </row>
    <row r="99" spans="1:123" x14ac:dyDescent="0.3">
      <c r="A99" s="169">
        <v>97</v>
      </c>
      <c r="B99" s="169">
        <v>97</v>
      </c>
      <c r="G99" s="169" t="str">
        <f t="shared" si="16"/>
        <v xml:space="preserve">  </v>
      </c>
      <c r="H99" s="170"/>
      <c r="AI99" s="236">
        <f t="shared" si="28"/>
        <v>0</v>
      </c>
      <c r="AJ99" s="218"/>
      <c r="AM99" s="275" t="s">
        <v>536</v>
      </c>
      <c r="AO99" s="178">
        <f t="shared" si="19"/>
        <v>0</v>
      </c>
      <c r="AP99" s="178" t="e">
        <f t="shared" si="20"/>
        <v>#VALUE!</v>
      </c>
      <c r="AQ99" s="237" t="str">
        <f t="shared" si="21"/>
        <v/>
      </c>
      <c r="AR99" s="220" t="s">
        <v>536</v>
      </c>
      <c r="AS99" s="345" t="s">
        <v>536</v>
      </c>
      <c r="AT99" s="221" t="s">
        <v>536</v>
      </c>
      <c r="AU99" s="221" t="s">
        <v>536</v>
      </c>
      <c r="AV99" s="221" t="s">
        <v>536</v>
      </c>
      <c r="AW99" s="221" t="s">
        <v>536</v>
      </c>
      <c r="AX99" s="222" t="s">
        <v>536</v>
      </c>
      <c r="BF99" s="241" t="str">
        <f t="shared" si="27"/>
        <v/>
      </c>
      <c r="BL99" s="241" t="str">
        <f t="shared" si="22"/>
        <v/>
      </c>
      <c r="BM99" s="241" t="str">
        <f t="shared" si="23"/>
        <v/>
      </c>
      <c r="BS99" s="247" t="str">
        <f t="shared" si="26"/>
        <v/>
      </c>
      <c r="BV99" s="242" t="str">
        <f t="shared" si="24"/>
        <v/>
      </c>
      <c r="BW99" s="248" t="str">
        <f t="shared" si="25"/>
        <v/>
      </c>
      <c r="CO99" s="228" t="s">
        <v>536</v>
      </c>
      <c r="CP99" s="228" t="s">
        <v>536</v>
      </c>
      <c r="CQ99" s="228" t="s">
        <v>536</v>
      </c>
      <c r="CR99" s="228" t="s">
        <v>536</v>
      </c>
    </row>
    <row r="100" spans="1:123" x14ac:dyDescent="0.3">
      <c r="A100" s="169">
        <v>98</v>
      </c>
      <c r="B100" s="169">
        <v>98</v>
      </c>
      <c r="G100" s="169" t="str">
        <f t="shared" si="16"/>
        <v xml:space="preserve">  </v>
      </c>
      <c r="H100" s="170"/>
      <c r="AI100" s="236">
        <f t="shared" si="28"/>
        <v>0</v>
      </c>
      <c r="AJ100" s="218"/>
      <c r="AM100" s="275" t="s">
        <v>536</v>
      </c>
      <c r="AO100" s="178">
        <f t="shared" si="19"/>
        <v>0</v>
      </c>
      <c r="AP100" s="178" t="e">
        <f t="shared" si="20"/>
        <v>#VALUE!</v>
      </c>
      <c r="AQ100" s="237" t="str">
        <f t="shared" si="21"/>
        <v/>
      </c>
      <c r="AR100" s="220" t="s">
        <v>536</v>
      </c>
      <c r="AS100" s="345" t="s">
        <v>536</v>
      </c>
      <c r="AT100" s="221" t="s">
        <v>536</v>
      </c>
      <c r="AU100" s="221" t="s">
        <v>536</v>
      </c>
      <c r="AV100" s="221" t="s">
        <v>536</v>
      </c>
      <c r="AW100" s="221" t="s">
        <v>536</v>
      </c>
      <c r="AX100" s="222" t="s">
        <v>536</v>
      </c>
      <c r="BF100" s="241" t="str">
        <f t="shared" si="27"/>
        <v/>
      </c>
      <c r="BL100" s="241" t="str">
        <f t="shared" si="22"/>
        <v/>
      </c>
      <c r="BM100" s="241" t="str">
        <f t="shared" si="23"/>
        <v/>
      </c>
      <c r="BS100" s="247" t="str">
        <f t="shared" si="26"/>
        <v/>
      </c>
      <c r="BV100" s="242" t="str">
        <f t="shared" si="24"/>
        <v/>
      </c>
      <c r="BW100" s="248" t="str">
        <f t="shared" si="25"/>
        <v/>
      </c>
    </row>
    <row r="101" spans="1:123" x14ac:dyDescent="0.3">
      <c r="A101" s="169">
        <v>99</v>
      </c>
      <c r="B101" s="169">
        <v>99</v>
      </c>
      <c r="G101" s="169" t="str">
        <f t="shared" si="16"/>
        <v xml:space="preserve">  </v>
      </c>
      <c r="H101" s="170"/>
      <c r="Q101" s="216"/>
      <c r="R101" s="216"/>
      <c r="AI101" s="236">
        <f t="shared" si="28"/>
        <v>0</v>
      </c>
      <c r="AJ101" s="218"/>
      <c r="AM101" s="275" t="s">
        <v>536</v>
      </c>
      <c r="AO101" s="178">
        <f>AN101/2</f>
        <v>0</v>
      </c>
      <c r="AP101" s="178" t="e">
        <f>AM101+AO101</f>
        <v>#VALUE!</v>
      </c>
      <c r="AQ101" s="237" t="str">
        <f t="shared" si="21"/>
        <v/>
      </c>
      <c r="AR101" s="220" t="s">
        <v>536</v>
      </c>
      <c r="AS101" s="345" t="s">
        <v>536</v>
      </c>
      <c r="AT101" s="221" t="s">
        <v>536</v>
      </c>
      <c r="AU101" s="221" t="s">
        <v>536</v>
      </c>
      <c r="AV101" s="221" t="s">
        <v>536</v>
      </c>
      <c r="AW101" s="221" t="s">
        <v>536</v>
      </c>
      <c r="AX101" s="222" t="s">
        <v>536</v>
      </c>
      <c r="BF101" s="241" t="str">
        <f t="shared" si="27"/>
        <v/>
      </c>
      <c r="BH101" s="233"/>
      <c r="BL101" s="241" t="str">
        <f t="shared" si="22"/>
        <v/>
      </c>
      <c r="BM101" s="241" t="str">
        <f t="shared" si="23"/>
        <v/>
      </c>
      <c r="BS101" s="247" t="str">
        <f t="shared" si="26"/>
        <v/>
      </c>
      <c r="BV101" s="242" t="str">
        <f t="shared" si="24"/>
        <v/>
      </c>
      <c r="BW101" s="248" t="str">
        <f t="shared" si="25"/>
        <v/>
      </c>
      <c r="DL101" s="229"/>
      <c r="DS101" s="230"/>
    </row>
    <row r="102" spans="1:123" x14ac:dyDescent="0.3">
      <c r="A102" s="169">
        <v>100</v>
      </c>
      <c r="B102" s="169">
        <v>100</v>
      </c>
      <c r="G102" s="169" t="str">
        <f t="shared" si="16"/>
        <v xml:space="preserve">  </v>
      </c>
      <c r="H102" s="170"/>
      <c r="N102" s="169"/>
      <c r="O102" s="172"/>
      <c r="AI102" s="236">
        <f t="shared" ref="AI102" si="29">SUM(AA102:AH102)</f>
        <v>0</v>
      </c>
      <c r="AJ102" s="218"/>
      <c r="AM102" s="275" t="s">
        <v>536</v>
      </c>
      <c r="AO102" s="178">
        <f t="shared" ref="AO102" si="30">AN102/2</f>
        <v>0</v>
      </c>
      <c r="AP102" s="178" t="e">
        <f t="shared" ref="AP102" si="31">AM102+AO102</f>
        <v>#VALUE!</v>
      </c>
      <c r="AQ102" s="237" t="str">
        <f t="shared" si="21"/>
        <v/>
      </c>
      <c r="AR102" s="220" t="s">
        <v>536</v>
      </c>
      <c r="AS102" s="345" t="s">
        <v>536</v>
      </c>
      <c r="AT102" s="221" t="s">
        <v>536</v>
      </c>
      <c r="AU102" s="221" t="s">
        <v>536</v>
      </c>
      <c r="AV102" s="221" t="s">
        <v>536</v>
      </c>
      <c r="AW102" s="221" t="s">
        <v>536</v>
      </c>
      <c r="AX102" s="222" t="s">
        <v>536</v>
      </c>
      <c r="BF102" s="241" t="str">
        <f t="shared" si="27"/>
        <v/>
      </c>
      <c r="BL102" s="241" t="str">
        <f t="shared" si="22"/>
        <v/>
      </c>
      <c r="BM102" s="241" t="str">
        <f t="shared" si="23"/>
        <v/>
      </c>
      <c r="BS102" s="247" t="str">
        <f t="shared" si="26"/>
        <v/>
      </c>
      <c r="BV102" s="242" t="str">
        <f t="shared" si="24"/>
        <v/>
      </c>
      <c r="BW102" s="248" t="str">
        <f t="shared" si="25"/>
        <v/>
      </c>
    </row>
    <row r="103" spans="1:123" x14ac:dyDescent="0.3">
      <c r="A103" s="169">
        <v>101</v>
      </c>
      <c r="B103" s="169">
        <v>101</v>
      </c>
      <c r="G103" s="169" t="str">
        <f t="shared" si="16"/>
        <v xml:space="preserve">  </v>
      </c>
      <c r="H103" s="170"/>
      <c r="AI103" s="236">
        <f t="shared" si="28"/>
        <v>0</v>
      </c>
      <c r="AJ103" s="218"/>
      <c r="AM103" s="275" t="s">
        <v>536</v>
      </c>
      <c r="AO103" s="178">
        <f t="shared" si="19"/>
        <v>0</v>
      </c>
      <c r="AP103" s="178" t="e">
        <f t="shared" si="20"/>
        <v>#VALUE!</v>
      </c>
      <c r="AQ103" s="237" t="str">
        <f t="shared" si="21"/>
        <v/>
      </c>
      <c r="AR103" s="220" t="s">
        <v>536</v>
      </c>
      <c r="AS103" s="345" t="s">
        <v>536</v>
      </c>
      <c r="AT103" s="221" t="s">
        <v>536</v>
      </c>
      <c r="AU103" s="221" t="s">
        <v>536</v>
      </c>
      <c r="AV103" s="221" t="s">
        <v>536</v>
      </c>
      <c r="AW103" s="221" t="s">
        <v>536</v>
      </c>
      <c r="AX103" s="222" t="s">
        <v>536</v>
      </c>
      <c r="BF103" s="241" t="str">
        <f t="shared" si="27"/>
        <v/>
      </c>
      <c r="BL103" s="241" t="str">
        <f t="shared" si="22"/>
        <v/>
      </c>
      <c r="BM103" s="241" t="str">
        <f t="shared" si="23"/>
        <v/>
      </c>
      <c r="BS103" s="247" t="str">
        <f t="shared" si="26"/>
        <v/>
      </c>
      <c r="BV103" s="242" t="str">
        <f t="shared" si="24"/>
        <v/>
      </c>
      <c r="BW103" s="248" t="str">
        <f t="shared" si="25"/>
        <v/>
      </c>
    </row>
    <row r="104" spans="1:123" x14ac:dyDescent="0.3">
      <c r="A104" s="169">
        <v>102</v>
      </c>
      <c r="B104" s="169">
        <v>102</v>
      </c>
      <c r="G104" s="169" t="str">
        <f t="shared" si="16"/>
        <v xml:space="preserve">  </v>
      </c>
      <c r="H104" s="170"/>
      <c r="AI104" s="236">
        <f t="shared" si="28"/>
        <v>0</v>
      </c>
      <c r="AJ104" s="218"/>
      <c r="AM104" s="275" t="s">
        <v>536</v>
      </c>
      <c r="AO104" s="178">
        <f t="shared" si="19"/>
        <v>0</v>
      </c>
      <c r="AP104" s="178" t="e">
        <f t="shared" si="20"/>
        <v>#VALUE!</v>
      </c>
      <c r="AQ104" s="237" t="str">
        <f t="shared" si="21"/>
        <v/>
      </c>
      <c r="AR104" s="220" t="s">
        <v>536</v>
      </c>
      <c r="AS104" s="345" t="s">
        <v>536</v>
      </c>
      <c r="AT104" s="221" t="s">
        <v>536</v>
      </c>
      <c r="AU104" s="221" t="s">
        <v>536</v>
      </c>
      <c r="AV104" s="221" t="s">
        <v>536</v>
      </c>
      <c r="AW104" s="221" t="s">
        <v>536</v>
      </c>
      <c r="AX104" s="222" t="s">
        <v>536</v>
      </c>
      <c r="BF104" s="241" t="str">
        <f t="shared" si="27"/>
        <v/>
      </c>
      <c r="BL104" s="241" t="str">
        <f t="shared" si="22"/>
        <v/>
      </c>
      <c r="BM104" s="241" t="str">
        <f t="shared" si="23"/>
        <v/>
      </c>
      <c r="BS104" s="247" t="str">
        <f t="shared" si="26"/>
        <v/>
      </c>
      <c r="BV104" s="242" t="str">
        <f t="shared" si="24"/>
        <v/>
      </c>
      <c r="BW104" s="248" t="str">
        <f t="shared" si="25"/>
        <v/>
      </c>
    </row>
    <row r="105" spans="1:123" x14ac:dyDescent="0.3">
      <c r="A105" s="169">
        <v>103</v>
      </c>
      <c r="B105" s="169">
        <v>103</v>
      </c>
      <c r="G105" s="169" t="str">
        <f t="shared" si="16"/>
        <v xml:space="preserve">  </v>
      </c>
      <c r="H105" s="170"/>
      <c r="AI105" s="236">
        <f t="shared" si="28"/>
        <v>0</v>
      </c>
      <c r="AJ105" s="218"/>
      <c r="AM105" s="275" t="s">
        <v>536</v>
      </c>
      <c r="AO105" s="178">
        <f t="shared" si="19"/>
        <v>0</v>
      </c>
      <c r="AP105" s="178" t="e">
        <f t="shared" si="20"/>
        <v>#VALUE!</v>
      </c>
      <c r="AQ105" s="237" t="str">
        <f t="shared" si="21"/>
        <v/>
      </c>
      <c r="AR105" s="220" t="s">
        <v>536</v>
      </c>
      <c r="AS105" s="345" t="s">
        <v>536</v>
      </c>
      <c r="AT105" s="221" t="s">
        <v>536</v>
      </c>
      <c r="AU105" s="221" t="s">
        <v>536</v>
      </c>
      <c r="AV105" s="221" t="s">
        <v>536</v>
      </c>
      <c r="AW105" s="221" t="s">
        <v>536</v>
      </c>
      <c r="AX105" s="222" t="s">
        <v>536</v>
      </c>
      <c r="BF105" s="241" t="str">
        <f t="shared" si="27"/>
        <v/>
      </c>
      <c r="BL105" s="241" t="str">
        <f t="shared" si="22"/>
        <v/>
      </c>
      <c r="BM105" s="241" t="str">
        <f t="shared" si="23"/>
        <v/>
      </c>
      <c r="BS105" s="247" t="str">
        <f t="shared" si="26"/>
        <v/>
      </c>
      <c r="BV105" s="242" t="str">
        <f t="shared" si="24"/>
        <v/>
      </c>
      <c r="BW105" s="248" t="str">
        <f t="shared" si="25"/>
        <v/>
      </c>
    </row>
    <row r="106" spans="1:123" x14ac:dyDescent="0.3">
      <c r="A106" s="169">
        <v>104</v>
      </c>
      <c r="B106" s="169">
        <v>104</v>
      </c>
      <c r="G106" s="169" t="str">
        <f t="shared" si="16"/>
        <v xml:space="preserve">  </v>
      </c>
      <c r="H106" s="170"/>
      <c r="AI106" s="236">
        <f t="shared" si="28"/>
        <v>0</v>
      </c>
      <c r="AJ106" s="218"/>
      <c r="AM106" s="275" t="s">
        <v>536</v>
      </c>
      <c r="AO106" s="178">
        <f t="shared" si="19"/>
        <v>0</v>
      </c>
      <c r="AP106" s="178" t="e">
        <f t="shared" si="20"/>
        <v>#VALUE!</v>
      </c>
      <c r="AQ106" s="237" t="str">
        <f t="shared" si="21"/>
        <v/>
      </c>
      <c r="AR106" s="220" t="s">
        <v>536</v>
      </c>
      <c r="AS106" s="345" t="s">
        <v>536</v>
      </c>
      <c r="AT106" s="221" t="s">
        <v>536</v>
      </c>
      <c r="AU106" s="221" t="s">
        <v>536</v>
      </c>
      <c r="AV106" s="221" t="s">
        <v>536</v>
      </c>
      <c r="AW106" s="221" t="s">
        <v>536</v>
      </c>
      <c r="AX106" s="222" t="s">
        <v>536</v>
      </c>
      <c r="BF106" s="241" t="str">
        <f t="shared" si="27"/>
        <v/>
      </c>
      <c r="BL106" s="241" t="str">
        <f t="shared" si="22"/>
        <v/>
      </c>
      <c r="BM106" s="241" t="str">
        <f t="shared" si="23"/>
        <v/>
      </c>
      <c r="BS106" s="247" t="str">
        <f t="shared" si="26"/>
        <v/>
      </c>
      <c r="BV106" s="242" t="str">
        <f t="shared" si="24"/>
        <v/>
      </c>
      <c r="BW106" s="248" t="str">
        <f t="shared" si="25"/>
        <v/>
      </c>
    </row>
    <row r="107" spans="1:123" x14ac:dyDescent="0.3">
      <c r="A107" s="169">
        <v>105</v>
      </c>
      <c r="B107" s="169">
        <v>105</v>
      </c>
      <c r="G107" s="169" t="str">
        <f t="shared" si="16"/>
        <v xml:space="preserve">  </v>
      </c>
      <c r="H107" s="170"/>
      <c r="AI107" s="236">
        <f t="shared" si="28"/>
        <v>0</v>
      </c>
      <c r="AJ107" s="218"/>
      <c r="AM107" s="275" t="s">
        <v>536</v>
      </c>
      <c r="AO107" s="178">
        <f t="shared" si="19"/>
        <v>0</v>
      </c>
      <c r="AP107" s="178" t="e">
        <f t="shared" si="20"/>
        <v>#VALUE!</v>
      </c>
      <c r="AQ107" s="237" t="str">
        <f t="shared" si="21"/>
        <v/>
      </c>
      <c r="AR107" s="220" t="s">
        <v>536</v>
      </c>
      <c r="AS107" s="345" t="s">
        <v>536</v>
      </c>
      <c r="AT107" s="221" t="s">
        <v>536</v>
      </c>
      <c r="AU107" s="221" t="s">
        <v>536</v>
      </c>
      <c r="AV107" s="221" t="s">
        <v>536</v>
      </c>
      <c r="AW107" s="221" t="s">
        <v>536</v>
      </c>
      <c r="AX107" s="222" t="s">
        <v>536</v>
      </c>
      <c r="BF107" s="241" t="str">
        <f t="shared" si="27"/>
        <v/>
      </c>
      <c r="BL107" s="241" t="str">
        <f t="shared" si="22"/>
        <v/>
      </c>
      <c r="BM107" s="241" t="str">
        <f t="shared" si="23"/>
        <v/>
      </c>
      <c r="BS107" s="247" t="str">
        <f t="shared" si="26"/>
        <v/>
      </c>
      <c r="BV107" s="242" t="str">
        <f t="shared" si="24"/>
        <v/>
      </c>
      <c r="BW107" s="248" t="str">
        <f t="shared" si="25"/>
        <v/>
      </c>
    </row>
    <row r="108" spans="1:123" x14ac:dyDescent="0.3">
      <c r="A108" s="169">
        <v>106</v>
      </c>
      <c r="B108" s="169">
        <v>106</v>
      </c>
      <c r="G108" s="169" t="str">
        <f t="shared" si="16"/>
        <v xml:space="preserve">  </v>
      </c>
      <c r="H108" s="170"/>
      <c r="AI108" s="236">
        <f t="shared" si="28"/>
        <v>0</v>
      </c>
      <c r="AJ108" s="218"/>
      <c r="AM108" s="275" t="s">
        <v>536</v>
      </c>
      <c r="AO108" s="178">
        <f t="shared" si="19"/>
        <v>0</v>
      </c>
      <c r="AP108" s="178" t="e">
        <f t="shared" si="20"/>
        <v>#VALUE!</v>
      </c>
      <c r="AQ108" s="237" t="str">
        <f t="shared" si="21"/>
        <v/>
      </c>
      <c r="AR108" s="220" t="s">
        <v>536</v>
      </c>
      <c r="AS108" s="345" t="s">
        <v>536</v>
      </c>
      <c r="AT108" s="221" t="s">
        <v>536</v>
      </c>
      <c r="AU108" s="221" t="s">
        <v>536</v>
      </c>
      <c r="AV108" s="221" t="s">
        <v>536</v>
      </c>
      <c r="AW108" s="221" t="s">
        <v>536</v>
      </c>
      <c r="AX108" s="222" t="s">
        <v>536</v>
      </c>
      <c r="BF108" s="241" t="str">
        <f t="shared" si="27"/>
        <v/>
      </c>
      <c r="BL108" s="241" t="str">
        <f t="shared" si="22"/>
        <v/>
      </c>
      <c r="BM108" s="241" t="str">
        <f t="shared" si="23"/>
        <v/>
      </c>
      <c r="BS108" s="247" t="str">
        <f t="shared" si="26"/>
        <v/>
      </c>
      <c r="BV108" s="242" t="str">
        <f t="shared" si="24"/>
        <v/>
      </c>
      <c r="BW108" s="248" t="str">
        <f t="shared" si="25"/>
        <v/>
      </c>
    </row>
    <row r="109" spans="1:123" x14ac:dyDescent="0.3">
      <c r="A109" s="169">
        <v>107</v>
      </c>
      <c r="B109" s="169">
        <v>107</v>
      </c>
      <c r="G109" s="169" t="str">
        <f t="shared" si="16"/>
        <v xml:space="preserve">  </v>
      </c>
      <c r="H109" s="170"/>
      <c r="AI109" s="236">
        <f t="shared" si="28"/>
        <v>0</v>
      </c>
      <c r="AJ109" s="218"/>
      <c r="AM109" s="275" t="s">
        <v>536</v>
      </c>
      <c r="AO109" s="178">
        <f t="shared" si="19"/>
        <v>0</v>
      </c>
      <c r="AP109" s="178" t="e">
        <f t="shared" si="20"/>
        <v>#VALUE!</v>
      </c>
      <c r="AQ109" s="237" t="str">
        <f t="shared" si="21"/>
        <v/>
      </c>
      <c r="AR109" s="220" t="s">
        <v>536</v>
      </c>
      <c r="AS109" s="345" t="s">
        <v>536</v>
      </c>
      <c r="AT109" s="221" t="s">
        <v>536</v>
      </c>
      <c r="AU109" s="221" t="s">
        <v>536</v>
      </c>
      <c r="AV109" s="221" t="s">
        <v>536</v>
      </c>
      <c r="AW109" s="221" t="s">
        <v>536</v>
      </c>
      <c r="AX109" s="222" t="s">
        <v>536</v>
      </c>
      <c r="BF109" s="241" t="str">
        <f t="shared" si="27"/>
        <v/>
      </c>
      <c r="BL109" s="241" t="str">
        <f t="shared" si="22"/>
        <v/>
      </c>
      <c r="BM109" s="241" t="str">
        <f t="shared" si="23"/>
        <v/>
      </c>
      <c r="BS109" s="247" t="str">
        <f t="shared" si="26"/>
        <v/>
      </c>
      <c r="BV109" s="242" t="str">
        <f t="shared" si="24"/>
        <v/>
      </c>
      <c r="BW109" s="248" t="str">
        <f t="shared" si="25"/>
        <v/>
      </c>
    </row>
    <row r="110" spans="1:123" x14ac:dyDescent="0.3">
      <c r="A110" s="169">
        <v>108</v>
      </c>
      <c r="B110" s="169">
        <v>108</v>
      </c>
      <c r="G110" s="169" t="str">
        <f t="shared" si="16"/>
        <v xml:space="preserve">  </v>
      </c>
      <c r="H110" s="170"/>
      <c r="AI110" s="236">
        <f t="shared" si="28"/>
        <v>0</v>
      </c>
      <c r="AJ110" s="218"/>
      <c r="AM110" s="275" t="s">
        <v>536</v>
      </c>
      <c r="AO110" s="178">
        <f t="shared" si="19"/>
        <v>0</v>
      </c>
      <c r="AP110" s="178" t="e">
        <f t="shared" si="20"/>
        <v>#VALUE!</v>
      </c>
      <c r="AQ110" s="237" t="str">
        <f t="shared" si="21"/>
        <v/>
      </c>
      <c r="AR110" s="220" t="s">
        <v>536</v>
      </c>
      <c r="AS110" s="345" t="s">
        <v>536</v>
      </c>
      <c r="AT110" s="221" t="s">
        <v>536</v>
      </c>
      <c r="AU110" s="221" t="s">
        <v>536</v>
      </c>
      <c r="AV110" s="221" t="s">
        <v>536</v>
      </c>
      <c r="AW110" s="221" t="s">
        <v>536</v>
      </c>
      <c r="AX110" s="222" t="s">
        <v>536</v>
      </c>
      <c r="BF110" s="241" t="str">
        <f t="shared" si="27"/>
        <v/>
      </c>
      <c r="BL110" s="241" t="str">
        <f t="shared" si="22"/>
        <v/>
      </c>
      <c r="BM110" s="241" t="str">
        <f t="shared" si="23"/>
        <v/>
      </c>
      <c r="BS110" s="247" t="str">
        <f t="shared" si="26"/>
        <v/>
      </c>
      <c r="BV110" s="242" t="str">
        <f t="shared" si="24"/>
        <v/>
      </c>
      <c r="BW110" s="248" t="str">
        <f t="shared" si="25"/>
        <v/>
      </c>
    </row>
    <row r="111" spans="1:123" x14ac:dyDescent="0.3">
      <c r="A111" s="169">
        <v>109</v>
      </c>
      <c r="B111" s="169">
        <v>109</v>
      </c>
      <c r="G111" s="169" t="str">
        <f t="shared" si="16"/>
        <v xml:space="preserve">  </v>
      </c>
      <c r="H111" s="170"/>
      <c r="AI111" s="236">
        <f t="shared" si="28"/>
        <v>0</v>
      </c>
      <c r="AJ111" s="218"/>
      <c r="AM111" s="275" t="s">
        <v>536</v>
      </c>
      <c r="AO111" s="178">
        <f t="shared" si="19"/>
        <v>0</v>
      </c>
      <c r="AP111" s="178" t="e">
        <f t="shared" si="20"/>
        <v>#VALUE!</v>
      </c>
      <c r="AQ111" s="237" t="str">
        <f t="shared" si="21"/>
        <v/>
      </c>
      <c r="AR111" s="220" t="s">
        <v>536</v>
      </c>
      <c r="AS111" s="345" t="s">
        <v>536</v>
      </c>
      <c r="AT111" s="221" t="s">
        <v>536</v>
      </c>
      <c r="AU111" s="221" t="s">
        <v>536</v>
      </c>
      <c r="AV111" s="221" t="s">
        <v>536</v>
      </c>
      <c r="AW111" s="221" t="s">
        <v>536</v>
      </c>
      <c r="AX111" s="222" t="s">
        <v>536</v>
      </c>
      <c r="BF111" s="241" t="str">
        <f t="shared" si="27"/>
        <v/>
      </c>
      <c r="BL111" s="241" t="str">
        <f t="shared" si="22"/>
        <v/>
      </c>
      <c r="BM111" s="241" t="str">
        <f t="shared" si="23"/>
        <v/>
      </c>
      <c r="BS111" s="247" t="str">
        <f t="shared" si="26"/>
        <v/>
      </c>
      <c r="BV111" s="242" t="str">
        <f t="shared" si="24"/>
        <v/>
      </c>
      <c r="BW111" s="248" t="str">
        <f t="shared" si="25"/>
        <v/>
      </c>
    </row>
    <row r="112" spans="1:123" x14ac:dyDescent="0.3">
      <c r="A112" s="169">
        <v>110</v>
      </c>
      <c r="B112" s="169">
        <v>110</v>
      </c>
      <c r="G112" s="169" t="str">
        <f t="shared" si="16"/>
        <v xml:space="preserve">  </v>
      </c>
      <c r="H112" s="170"/>
      <c r="AI112" s="236">
        <f t="shared" si="28"/>
        <v>0</v>
      </c>
      <c r="AJ112" s="218"/>
      <c r="AM112" s="275" t="s">
        <v>536</v>
      </c>
      <c r="AO112" s="178">
        <f t="shared" si="19"/>
        <v>0</v>
      </c>
      <c r="AP112" s="178" t="e">
        <f t="shared" si="20"/>
        <v>#VALUE!</v>
      </c>
      <c r="AQ112" s="237" t="str">
        <f t="shared" si="21"/>
        <v/>
      </c>
      <c r="AR112" s="220" t="s">
        <v>536</v>
      </c>
      <c r="AS112" s="345" t="s">
        <v>536</v>
      </c>
      <c r="AT112" s="221" t="s">
        <v>536</v>
      </c>
      <c r="AU112" s="221" t="s">
        <v>536</v>
      </c>
      <c r="AV112" s="221" t="s">
        <v>536</v>
      </c>
      <c r="AW112" s="221" t="s">
        <v>536</v>
      </c>
      <c r="AX112" s="222" t="s">
        <v>536</v>
      </c>
      <c r="BF112" s="241" t="str">
        <f t="shared" si="27"/>
        <v/>
      </c>
      <c r="BL112" s="241" t="str">
        <f t="shared" si="22"/>
        <v/>
      </c>
      <c r="BM112" s="241" t="str">
        <f t="shared" si="23"/>
        <v/>
      </c>
      <c r="BS112" s="247" t="str">
        <f t="shared" si="26"/>
        <v/>
      </c>
      <c r="BV112" s="242" t="str">
        <f t="shared" si="24"/>
        <v/>
      </c>
      <c r="BW112" s="248" t="str">
        <f t="shared" si="25"/>
        <v/>
      </c>
    </row>
    <row r="113" spans="1:75" x14ac:dyDescent="0.3">
      <c r="A113" s="169">
        <v>111</v>
      </c>
      <c r="B113" s="169">
        <v>111</v>
      </c>
      <c r="G113" s="169" t="str">
        <f t="shared" ref="G113:G130" si="32">CONCATENATE(D113," ",E113," ",F113)</f>
        <v xml:space="preserve">  </v>
      </c>
      <c r="AI113" s="236">
        <f t="shared" ref="AI113:AI131" si="33">SUM(AA113:AH113)</f>
        <v>0</v>
      </c>
      <c r="AJ113" s="218"/>
      <c r="AM113" s="275" t="s">
        <v>536</v>
      </c>
      <c r="AO113" s="178">
        <f t="shared" ref="AO113:AO145" si="34">AN113/2</f>
        <v>0</v>
      </c>
      <c r="AP113" s="178" t="e">
        <f t="shared" ref="AP113:AP145" si="35">AM113+AO113</f>
        <v>#VALUE!</v>
      </c>
      <c r="AQ113" s="237" t="str">
        <f t="shared" si="21"/>
        <v/>
      </c>
      <c r="AR113" s="220" t="s">
        <v>536</v>
      </c>
      <c r="AS113" s="345" t="s">
        <v>536</v>
      </c>
      <c r="AT113" s="221" t="s">
        <v>536</v>
      </c>
      <c r="AU113" s="221" t="s">
        <v>536</v>
      </c>
      <c r="AV113" s="221" t="s">
        <v>536</v>
      </c>
      <c r="AW113" s="221" t="s">
        <v>536</v>
      </c>
      <c r="AX113" s="222" t="s">
        <v>536</v>
      </c>
      <c r="BF113" s="241" t="str">
        <f t="shared" si="27"/>
        <v/>
      </c>
      <c r="BL113" s="241" t="str">
        <f t="shared" si="22"/>
        <v/>
      </c>
      <c r="BM113" s="241" t="str">
        <f t="shared" si="23"/>
        <v/>
      </c>
      <c r="BS113" s="247" t="str">
        <f t="shared" si="26"/>
        <v/>
      </c>
      <c r="BV113" s="242" t="str">
        <f t="shared" si="24"/>
        <v/>
      </c>
      <c r="BW113" s="248" t="str">
        <f t="shared" si="25"/>
        <v/>
      </c>
    </row>
    <row r="114" spans="1:75" x14ac:dyDescent="0.3">
      <c r="A114" s="169">
        <v>112</v>
      </c>
      <c r="B114" s="169">
        <v>112</v>
      </c>
      <c r="G114" s="169" t="str">
        <f t="shared" si="32"/>
        <v xml:space="preserve">  </v>
      </c>
      <c r="AI114" s="236">
        <f t="shared" si="33"/>
        <v>0</v>
      </c>
      <c r="AJ114" s="218"/>
      <c r="AM114" s="275" t="s">
        <v>536</v>
      </c>
      <c r="AO114" s="178">
        <f t="shared" si="34"/>
        <v>0</v>
      </c>
      <c r="AP114" s="178" t="e">
        <f t="shared" si="35"/>
        <v>#VALUE!</v>
      </c>
      <c r="AQ114" s="237" t="str">
        <f t="shared" si="21"/>
        <v/>
      </c>
      <c r="AR114" s="220" t="s">
        <v>536</v>
      </c>
      <c r="AS114" s="345" t="s">
        <v>536</v>
      </c>
      <c r="AT114" s="221" t="s">
        <v>536</v>
      </c>
      <c r="AU114" s="221" t="s">
        <v>536</v>
      </c>
      <c r="AV114" s="221" t="s">
        <v>536</v>
      </c>
      <c r="AW114" s="221" t="s">
        <v>536</v>
      </c>
      <c r="AX114" s="222" t="s">
        <v>536</v>
      </c>
      <c r="BF114" s="241" t="str">
        <f t="shared" si="27"/>
        <v/>
      </c>
      <c r="BL114" s="241" t="str">
        <f t="shared" si="22"/>
        <v/>
      </c>
      <c r="BM114" s="241" t="str">
        <f t="shared" si="23"/>
        <v/>
      </c>
      <c r="BS114" s="247" t="str">
        <f t="shared" si="26"/>
        <v/>
      </c>
      <c r="BV114" s="242" t="str">
        <f t="shared" si="24"/>
        <v/>
      </c>
      <c r="BW114" s="248" t="str">
        <f t="shared" si="25"/>
        <v/>
      </c>
    </row>
    <row r="115" spans="1:75" x14ac:dyDescent="0.3">
      <c r="A115" s="169">
        <v>113</v>
      </c>
      <c r="B115" s="169">
        <v>113</v>
      </c>
      <c r="G115" s="169" t="str">
        <f t="shared" si="32"/>
        <v xml:space="preserve">  </v>
      </c>
      <c r="AI115" s="236">
        <f t="shared" si="33"/>
        <v>0</v>
      </c>
      <c r="AJ115" s="218"/>
      <c r="AM115" s="275" t="s">
        <v>536</v>
      </c>
      <c r="AO115" s="178">
        <f t="shared" si="34"/>
        <v>0</v>
      </c>
      <c r="AP115" s="178" t="e">
        <f t="shared" si="35"/>
        <v>#VALUE!</v>
      </c>
      <c r="AQ115" s="237" t="str">
        <f t="shared" si="21"/>
        <v/>
      </c>
      <c r="AR115" s="220" t="s">
        <v>536</v>
      </c>
      <c r="AS115" s="345" t="s">
        <v>536</v>
      </c>
      <c r="AT115" s="221" t="s">
        <v>536</v>
      </c>
      <c r="AU115" s="221" t="s">
        <v>536</v>
      </c>
      <c r="AV115" s="221" t="s">
        <v>536</v>
      </c>
      <c r="AW115" s="221" t="s">
        <v>536</v>
      </c>
      <c r="AX115" s="222" t="s">
        <v>536</v>
      </c>
      <c r="BF115" s="241" t="str">
        <f t="shared" si="27"/>
        <v/>
      </c>
      <c r="BL115" s="241" t="str">
        <f t="shared" si="22"/>
        <v/>
      </c>
      <c r="BM115" s="241" t="str">
        <f t="shared" si="23"/>
        <v/>
      </c>
      <c r="BS115" s="247" t="str">
        <f t="shared" si="26"/>
        <v/>
      </c>
      <c r="BV115" s="242" t="str">
        <f t="shared" si="24"/>
        <v/>
      </c>
      <c r="BW115" s="248" t="str">
        <f t="shared" si="25"/>
        <v/>
      </c>
    </row>
    <row r="116" spans="1:75" x14ac:dyDescent="0.3">
      <c r="A116" s="169">
        <v>114</v>
      </c>
      <c r="B116" s="169">
        <v>114</v>
      </c>
      <c r="G116" s="169" t="str">
        <f t="shared" si="32"/>
        <v xml:space="preserve">  </v>
      </c>
      <c r="AI116" s="236">
        <f t="shared" si="33"/>
        <v>0</v>
      </c>
      <c r="AJ116" s="218"/>
      <c r="AM116" s="275" t="s">
        <v>536</v>
      </c>
      <c r="AO116" s="178">
        <f t="shared" si="34"/>
        <v>0</v>
      </c>
      <c r="AP116" s="178" t="e">
        <f t="shared" si="35"/>
        <v>#VALUE!</v>
      </c>
      <c r="AQ116" s="237" t="str">
        <f t="shared" si="21"/>
        <v/>
      </c>
      <c r="AR116" s="220" t="s">
        <v>536</v>
      </c>
      <c r="AS116" s="345" t="s">
        <v>536</v>
      </c>
      <c r="AT116" s="221" t="s">
        <v>536</v>
      </c>
      <c r="AU116" s="221" t="s">
        <v>536</v>
      </c>
      <c r="AV116" s="221" t="s">
        <v>536</v>
      </c>
      <c r="AW116" s="221" t="s">
        <v>536</v>
      </c>
      <c r="AX116" s="222" t="s">
        <v>536</v>
      </c>
      <c r="BF116" s="241" t="str">
        <f t="shared" si="27"/>
        <v/>
      </c>
      <c r="BL116" s="241" t="str">
        <f t="shared" si="22"/>
        <v/>
      </c>
      <c r="BM116" s="241" t="str">
        <f t="shared" si="23"/>
        <v/>
      </c>
      <c r="BS116" s="247" t="str">
        <f t="shared" si="26"/>
        <v/>
      </c>
      <c r="BV116" s="242" t="str">
        <f t="shared" si="24"/>
        <v/>
      </c>
      <c r="BW116" s="248" t="str">
        <f t="shared" si="25"/>
        <v/>
      </c>
    </row>
    <row r="117" spans="1:75" x14ac:dyDescent="0.3">
      <c r="A117" s="169">
        <v>115</v>
      </c>
      <c r="B117" s="169">
        <v>115</v>
      </c>
      <c r="G117" s="169" t="str">
        <f t="shared" si="32"/>
        <v xml:space="preserve">  </v>
      </c>
      <c r="AI117" s="236">
        <f t="shared" si="33"/>
        <v>0</v>
      </c>
      <c r="AJ117" s="218"/>
      <c r="AM117" s="275" t="s">
        <v>536</v>
      </c>
      <c r="AO117" s="178">
        <f t="shared" si="34"/>
        <v>0</v>
      </c>
      <c r="AP117" s="178" t="e">
        <f t="shared" si="35"/>
        <v>#VALUE!</v>
      </c>
      <c r="AQ117" s="237" t="str">
        <f t="shared" si="21"/>
        <v/>
      </c>
      <c r="AR117" s="220" t="s">
        <v>536</v>
      </c>
      <c r="AS117" s="345" t="s">
        <v>536</v>
      </c>
      <c r="AT117" s="221" t="s">
        <v>536</v>
      </c>
      <c r="AU117" s="221" t="s">
        <v>536</v>
      </c>
      <c r="AV117" s="221" t="s">
        <v>536</v>
      </c>
      <c r="AW117" s="221" t="s">
        <v>536</v>
      </c>
      <c r="AX117" s="222" t="s">
        <v>536</v>
      </c>
      <c r="BF117" s="241" t="str">
        <f t="shared" si="27"/>
        <v/>
      </c>
      <c r="BL117" s="241" t="str">
        <f t="shared" si="22"/>
        <v/>
      </c>
      <c r="BM117" s="241" t="str">
        <f t="shared" si="23"/>
        <v/>
      </c>
      <c r="BS117" s="247" t="str">
        <f t="shared" si="26"/>
        <v/>
      </c>
      <c r="BV117" s="242" t="str">
        <f t="shared" si="24"/>
        <v/>
      </c>
      <c r="BW117" s="248" t="str">
        <f t="shared" si="25"/>
        <v/>
      </c>
    </row>
    <row r="118" spans="1:75" x14ac:dyDescent="0.3">
      <c r="A118" s="169">
        <v>116</v>
      </c>
      <c r="B118" s="169">
        <v>116</v>
      </c>
      <c r="G118" s="169" t="str">
        <f t="shared" si="32"/>
        <v xml:space="preserve">  </v>
      </c>
      <c r="AI118" s="236">
        <f t="shared" si="33"/>
        <v>0</v>
      </c>
      <c r="AJ118" s="218"/>
      <c r="AM118" s="275" t="s">
        <v>536</v>
      </c>
      <c r="AO118" s="178">
        <f t="shared" si="34"/>
        <v>0</v>
      </c>
      <c r="AP118" s="178" t="e">
        <f t="shared" si="35"/>
        <v>#VALUE!</v>
      </c>
      <c r="AQ118" s="237" t="str">
        <f t="shared" si="21"/>
        <v/>
      </c>
      <c r="AR118" s="220" t="s">
        <v>536</v>
      </c>
      <c r="AS118" s="345" t="s">
        <v>536</v>
      </c>
      <c r="AT118" s="221" t="s">
        <v>536</v>
      </c>
      <c r="AU118" s="221" t="s">
        <v>536</v>
      </c>
      <c r="AV118" s="221" t="s">
        <v>536</v>
      </c>
      <c r="AW118" s="221" t="s">
        <v>536</v>
      </c>
      <c r="AX118" s="222" t="s">
        <v>536</v>
      </c>
      <c r="BF118" s="241" t="str">
        <f t="shared" si="27"/>
        <v/>
      </c>
      <c r="BL118" s="241" t="str">
        <f t="shared" si="22"/>
        <v/>
      </c>
      <c r="BM118" s="241" t="str">
        <f t="shared" si="23"/>
        <v/>
      </c>
      <c r="BS118" s="247" t="str">
        <f t="shared" si="26"/>
        <v/>
      </c>
      <c r="BV118" s="242" t="str">
        <f t="shared" si="24"/>
        <v/>
      </c>
      <c r="BW118" s="248" t="str">
        <f t="shared" si="25"/>
        <v/>
      </c>
    </row>
    <row r="119" spans="1:75" x14ac:dyDescent="0.3">
      <c r="A119" s="169">
        <v>117</v>
      </c>
      <c r="B119" s="169">
        <v>117</v>
      </c>
      <c r="G119" s="169" t="str">
        <f t="shared" si="32"/>
        <v xml:space="preserve">  </v>
      </c>
      <c r="AI119" s="236">
        <f t="shared" si="33"/>
        <v>0</v>
      </c>
      <c r="AJ119" s="218"/>
      <c r="AM119" s="275" t="s">
        <v>536</v>
      </c>
      <c r="AO119" s="178">
        <f t="shared" si="34"/>
        <v>0</v>
      </c>
      <c r="AP119" s="178" t="e">
        <f t="shared" si="35"/>
        <v>#VALUE!</v>
      </c>
      <c r="AQ119" s="237" t="str">
        <f t="shared" si="21"/>
        <v/>
      </c>
      <c r="AR119" s="220" t="s">
        <v>536</v>
      </c>
      <c r="AS119" s="345" t="s">
        <v>536</v>
      </c>
      <c r="AT119" s="221" t="s">
        <v>536</v>
      </c>
      <c r="AU119" s="221" t="s">
        <v>536</v>
      </c>
      <c r="AV119" s="221" t="s">
        <v>536</v>
      </c>
      <c r="AW119" s="221" t="s">
        <v>536</v>
      </c>
      <c r="AX119" s="222" t="s">
        <v>536</v>
      </c>
      <c r="BF119" s="241" t="str">
        <f t="shared" si="27"/>
        <v/>
      </c>
      <c r="BL119" s="241" t="str">
        <f t="shared" si="22"/>
        <v/>
      </c>
      <c r="BM119" s="241" t="str">
        <f t="shared" si="23"/>
        <v/>
      </c>
      <c r="BS119" s="247" t="str">
        <f t="shared" si="26"/>
        <v/>
      </c>
      <c r="BV119" s="242" t="str">
        <f t="shared" si="24"/>
        <v/>
      </c>
      <c r="BW119" s="248" t="str">
        <f t="shared" si="25"/>
        <v/>
      </c>
    </row>
    <row r="120" spans="1:75" x14ac:dyDescent="0.3">
      <c r="A120" s="169">
        <v>118</v>
      </c>
      <c r="B120" s="169">
        <v>118</v>
      </c>
      <c r="G120" s="169" t="str">
        <f t="shared" si="32"/>
        <v xml:space="preserve">  </v>
      </c>
      <c r="AI120" s="236">
        <f t="shared" si="33"/>
        <v>0</v>
      </c>
      <c r="AJ120" s="218"/>
      <c r="AM120" s="275" t="s">
        <v>536</v>
      </c>
      <c r="AO120" s="178">
        <f t="shared" si="34"/>
        <v>0</v>
      </c>
      <c r="AP120" s="178" t="e">
        <f t="shared" si="35"/>
        <v>#VALUE!</v>
      </c>
      <c r="AQ120" s="237" t="str">
        <f t="shared" si="21"/>
        <v/>
      </c>
      <c r="AR120" s="220" t="s">
        <v>536</v>
      </c>
      <c r="AS120" s="345" t="s">
        <v>536</v>
      </c>
      <c r="AT120" s="221" t="s">
        <v>536</v>
      </c>
      <c r="AU120" s="221" t="s">
        <v>536</v>
      </c>
      <c r="AV120" s="221" t="s">
        <v>536</v>
      </c>
      <c r="AW120" s="221" t="s">
        <v>536</v>
      </c>
      <c r="AX120" s="222" t="s">
        <v>536</v>
      </c>
      <c r="BF120" s="241" t="str">
        <f t="shared" si="27"/>
        <v/>
      </c>
      <c r="BL120" s="241" t="str">
        <f t="shared" si="22"/>
        <v/>
      </c>
      <c r="BM120" s="241" t="str">
        <f t="shared" si="23"/>
        <v/>
      </c>
      <c r="BS120" s="247" t="str">
        <f t="shared" si="26"/>
        <v/>
      </c>
      <c r="BV120" s="242" t="str">
        <f t="shared" si="24"/>
        <v/>
      </c>
      <c r="BW120" s="248" t="str">
        <f t="shared" si="25"/>
        <v/>
      </c>
    </row>
    <row r="121" spans="1:75" x14ac:dyDescent="0.3">
      <c r="A121" s="169">
        <v>119</v>
      </c>
      <c r="B121" s="169">
        <v>119</v>
      </c>
      <c r="G121" s="169" t="str">
        <f t="shared" si="32"/>
        <v xml:space="preserve">  </v>
      </c>
      <c r="AI121" s="236">
        <f t="shared" si="33"/>
        <v>0</v>
      </c>
      <c r="AJ121" s="218"/>
      <c r="AM121" s="275" t="s">
        <v>536</v>
      </c>
      <c r="AO121" s="178">
        <f t="shared" si="34"/>
        <v>0</v>
      </c>
      <c r="AP121" s="178" t="e">
        <f t="shared" si="35"/>
        <v>#VALUE!</v>
      </c>
      <c r="AQ121" s="237" t="str">
        <f t="shared" si="21"/>
        <v/>
      </c>
      <c r="AR121" s="220" t="s">
        <v>536</v>
      </c>
      <c r="AS121" s="345" t="s">
        <v>536</v>
      </c>
      <c r="AT121" s="221" t="s">
        <v>536</v>
      </c>
      <c r="AU121" s="221" t="s">
        <v>536</v>
      </c>
      <c r="AV121" s="221" t="s">
        <v>536</v>
      </c>
      <c r="AW121" s="221" t="s">
        <v>536</v>
      </c>
      <c r="AX121" s="222" t="s">
        <v>536</v>
      </c>
      <c r="BF121" s="241" t="str">
        <f t="shared" si="27"/>
        <v/>
      </c>
      <c r="BL121" s="241" t="str">
        <f t="shared" si="22"/>
        <v/>
      </c>
      <c r="BM121" s="241" t="str">
        <f t="shared" si="23"/>
        <v/>
      </c>
      <c r="BS121" s="247" t="str">
        <f t="shared" si="26"/>
        <v/>
      </c>
      <c r="BV121" s="242" t="str">
        <f t="shared" si="24"/>
        <v/>
      </c>
      <c r="BW121" s="248" t="str">
        <f t="shared" si="25"/>
        <v/>
      </c>
    </row>
    <row r="122" spans="1:75" x14ac:dyDescent="0.3">
      <c r="A122" s="169">
        <v>120</v>
      </c>
      <c r="B122" s="169">
        <v>120</v>
      </c>
      <c r="G122" s="169" t="str">
        <f t="shared" si="32"/>
        <v xml:space="preserve">  </v>
      </c>
      <c r="AI122" s="236">
        <f t="shared" si="33"/>
        <v>0</v>
      </c>
      <c r="AJ122" s="218"/>
      <c r="AM122" s="275" t="s">
        <v>536</v>
      </c>
      <c r="AO122" s="178">
        <f t="shared" si="34"/>
        <v>0</v>
      </c>
      <c r="AP122" s="178" t="e">
        <f t="shared" si="35"/>
        <v>#VALUE!</v>
      </c>
      <c r="AQ122" s="237" t="str">
        <f t="shared" si="21"/>
        <v/>
      </c>
      <c r="BF122" s="241" t="str">
        <f t="shared" si="27"/>
        <v/>
      </c>
      <c r="BL122" s="241" t="str">
        <f t="shared" si="22"/>
        <v/>
      </c>
      <c r="BM122" s="241" t="str">
        <f t="shared" si="23"/>
        <v/>
      </c>
      <c r="BS122" s="247" t="str">
        <f t="shared" si="26"/>
        <v/>
      </c>
      <c r="BV122" s="242" t="str">
        <f t="shared" si="24"/>
        <v/>
      </c>
      <c r="BW122" s="248" t="str">
        <f t="shared" si="25"/>
        <v/>
      </c>
    </row>
    <row r="123" spans="1:75" x14ac:dyDescent="0.3">
      <c r="A123" s="169">
        <v>121</v>
      </c>
      <c r="B123" s="169">
        <v>121</v>
      </c>
      <c r="G123" s="169" t="str">
        <f t="shared" si="32"/>
        <v xml:space="preserve">  </v>
      </c>
      <c r="AI123" s="236">
        <f t="shared" si="33"/>
        <v>0</v>
      </c>
      <c r="AJ123" s="218"/>
      <c r="AM123" s="275" t="s">
        <v>536</v>
      </c>
      <c r="AO123" s="178">
        <f t="shared" si="34"/>
        <v>0</v>
      </c>
      <c r="AP123" s="178" t="e">
        <f t="shared" si="35"/>
        <v>#VALUE!</v>
      </c>
      <c r="AQ123" s="237" t="str">
        <f t="shared" si="21"/>
        <v/>
      </c>
      <c r="BF123" s="241" t="str">
        <f t="shared" si="27"/>
        <v/>
      </c>
      <c r="BL123" s="241" t="str">
        <f t="shared" si="22"/>
        <v/>
      </c>
      <c r="BM123" s="241" t="str">
        <f t="shared" si="23"/>
        <v/>
      </c>
      <c r="BS123" s="247" t="str">
        <f t="shared" si="26"/>
        <v/>
      </c>
      <c r="BV123" s="242" t="str">
        <f t="shared" si="24"/>
        <v/>
      </c>
      <c r="BW123" s="248" t="str">
        <f t="shared" si="25"/>
        <v/>
      </c>
    </row>
    <row r="124" spans="1:75" x14ac:dyDescent="0.3">
      <c r="A124" s="169">
        <v>122</v>
      </c>
      <c r="B124" s="169">
        <v>122</v>
      </c>
      <c r="G124" s="169" t="str">
        <f t="shared" si="32"/>
        <v xml:space="preserve">  </v>
      </c>
      <c r="AI124" s="236">
        <f t="shared" si="33"/>
        <v>0</v>
      </c>
      <c r="AJ124" s="218"/>
      <c r="AM124" s="275" t="s">
        <v>536</v>
      </c>
      <c r="AO124" s="178">
        <f t="shared" si="34"/>
        <v>0</v>
      </c>
      <c r="AP124" s="178" t="e">
        <f t="shared" si="35"/>
        <v>#VALUE!</v>
      </c>
      <c r="AQ124" s="237" t="str">
        <f t="shared" si="21"/>
        <v/>
      </c>
      <c r="BF124" s="241" t="str">
        <f t="shared" si="27"/>
        <v/>
      </c>
      <c r="BL124" s="241" t="str">
        <f t="shared" si="22"/>
        <v/>
      </c>
      <c r="BM124" s="241" t="str">
        <f t="shared" si="23"/>
        <v/>
      </c>
      <c r="BS124" s="247" t="str">
        <f t="shared" si="26"/>
        <v/>
      </c>
      <c r="BV124" s="242" t="str">
        <f t="shared" si="24"/>
        <v/>
      </c>
      <c r="BW124" s="248" t="str">
        <f t="shared" si="25"/>
        <v/>
      </c>
    </row>
    <row r="125" spans="1:75" x14ac:dyDescent="0.3">
      <c r="A125" s="169">
        <v>123</v>
      </c>
      <c r="B125" s="169">
        <v>123</v>
      </c>
      <c r="G125" s="169" t="str">
        <f t="shared" si="32"/>
        <v xml:space="preserve">  </v>
      </c>
      <c r="AI125" s="236">
        <f t="shared" si="33"/>
        <v>0</v>
      </c>
      <c r="AJ125" s="218"/>
      <c r="AM125" s="275" t="s">
        <v>536</v>
      </c>
      <c r="AO125" s="178">
        <f t="shared" si="34"/>
        <v>0</v>
      </c>
      <c r="AP125" s="178" t="e">
        <f t="shared" si="35"/>
        <v>#VALUE!</v>
      </c>
      <c r="AQ125" s="237" t="str">
        <f t="shared" si="21"/>
        <v/>
      </c>
      <c r="BF125" s="241" t="str">
        <f t="shared" si="27"/>
        <v/>
      </c>
      <c r="BL125" s="241" t="str">
        <f t="shared" si="22"/>
        <v/>
      </c>
      <c r="BM125" s="241" t="str">
        <f t="shared" si="23"/>
        <v/>
      </c>
      <c r="BS125" s="247" t="str">
        <f t="shared" si="26"/>
        <v/>
      </c>
      <c r="BV125" s="242" t="str">
        <f t="shared" si="24"/>
        <v/>
      </c>
      <c r="BW125" s="248" t="str">
        <f t="shared" si="25"/>
        <v/>
      </c>
    </row>
    <row r="126" spans="1:75" x14ac:dyDescent="0.3">
      <c r="A126" s="169">
        <v>124</v>
      </c>
      <c r="B126" s="169">
        <v>124</v>
      </c>
      <c r="G126" s="169" t="str">
        <f t="shared" si="32"/>
        <v xml:space="preserve">  </v>
      </c>
      <c r="AI126" s="236">
        <f t="shared" si="33"/>
        <v>0</v>
      </c>
      <c r="AJ126" s="218"/>
      <c r="AM126" s="275" t="s">
        <v>536</v>
      </c>
      <c r="AO126" s="178">
        <f t="shared" si="34"/>
        <v>0</v>
      </c>
      <c r="AP126" s="178" t="e">
        <f t="shared" si="35"/>
        <v>#VALUE!</v>
      </c>
      <c r="AQ126" s="237" t="str">
        <f t="shared" si="21"/>
        <v/>
      </c>
      <c r="BF126" s="241" t="str">
        <f t="shared" si="27"/>
        <v/>
      </c>
      <c r="BL126" s="241" t="str">
        <f t="shared" si="22"/>
        <v/>
      </c>
      <c r="BM126" s="241" t="str">
        <f t="shared" si="23"/>
        <v/>
      </c>
      <c r="BS126" s="247" t="str">
        <f t="shared" si="26"/>
        <v/>
      </c>
      <c r="BV126" s="242" t="str">
        <f t="shared" si="24"/>
        <v/>
      </c>
      <c r="BW126" s="248" t="str">
        <f t="shared" si="25"/>
        <v/>
      </c>
    </row>
    <row r="127" spans="1:75" x14ac:dyDescent="0.3">
      <c r="A127" s="169">
        <v>125</v>
      </c>
      <c r="B127" s="169">
        <v>125</v>
      </c>
      <c r="G127" s="169" t="str">
        <f t="shared" si="32"/>
        <v xml:space="preserve">  </v>
      </c>
      <c r="AI127" s="236">
        <f t="shared" si="33"/>
        <v>0</v>
      </c>
      <c r="AJ127" s="218"/>
      <c r="AM127" s="275" t="s">
        <v>536</v>
      </c>
      <c r="AO127" s="178">
        <f t="shared" si="34"/>
        <v>0</v>
      </c>
      <c r="AP127" s="178" t="e">
        <f t="shared" si="35"/>
        <v>#VALUE!</v>
      </c>
      <c r="AQ127" s="237" t="str">
        <f t="shared" si="21"/>
        <v/>
      </c>
      <c r="BF127" s="241" t="str">
        <f t="shared" si="27"/>
        <v/>
      </c>
      <c r="BL127" s="241" t="str">
        <f t="shared" si="22"/>
        <v/>
      </c>
      <c r="BM127" s="241" t="str">
        <f t="shared" si="23"/>
        <v/>
      </c>
      <c r="BS127" s="247" t="str">
        <f t="shared" si="26"/>
        <v/>
      </c>
      <c r="BV127" s="242" t="str">
        <f t="shared" si="24"/>
        <v/>
      </c>
      <c r="BW127" s="248" t="str">
        <f t="shared" si="25"/>
        <v/>
      </c>
    </row>
    <row r="128" spans="1:75" x14ac:dyDescent="0.3">
      <c r="A128" s="169">
        <v>126</v>
      </c>
      <c r="B128" s="169">
        <v>126</v>
      </c>
      <c r="G128" s="169" t="str">
        <f t="shared" si="32"/>
        <v xml:space="preserve">  </v>
      </c>
      <c r="AI128" s="236">
        <f t="shared" si="33"/>
        <v>0</v>
      </c>
      <c r="AJ128" s="218"/>
      <c r="AM128" s="275" t="s">
        <v>536</v>
      </c>
      <c r="AO128" s="178">
        <f t="shared" si="34"/>
        <v>0</v>
      </c>
      <c r="AP128" s="178" t="e">
        <f t="shared" si="35"/>
        <v>#VALUE!</v>
      </c>
      <c r="AQ128" s="237" t="str">
        <f t="shared" si="21"/>
        <v/>
      </c>
      <c r="BF128" s="241" t="str">
        <f t="shared" si="27"/>
        <v/>
      </c>
      <c r="BL128" s="241" t="str">
        <f t="shared" si="22"/>
        <v/>
      </c>
      <c r="BM128" s="241" t="str">
        <f t="shared" si="23"/>
        <v/>
      </c>
      <c r="BS128" s="247" t="str">
        <f t="shared" si="26"/>
        <v/>
      </c>
      <c r="BV128" s="242" t="str">
        <f t="shared" si="24"/>
        <v/>
      </c>
      <c r="BW128" s="248" t="str">
        <f t="shared" si="25"/>
        <v/>
      </c>
    </row>
    <row r="129" spans="1:75" x14ac:dyDescent="0.3">
      <c r="A129" s="169">
        <v>127</v>
      </c>
      <c r="B129" s="169">
        <v>127</v>
      </c>
      <c r="G129" s="169" t="str">
        <f t="shared" si="32"/>
        <v xml:space="preserve">  </v>
      </c>
      <c r="AI129" s="236">
        <f t="shared" si="33"/>
        <v>0</v>
      </c>
      <c r="AJ129" s="218"/>
      <c r="AM129" s="275" t="s">
        <v>536</v>
      </c>
      <c r="AO129" s="178">
        <f t="shared" si="34"/>
        <v>0</v>
      </c>
      <c r="AP129" s="178" t="e">
        <f t="shared" si="35"/>
        <v>#VALUE!</v>
      </c>
      <c r="AQ129" s="237" t="str">
        <f t="shared" si="21"/>
        <v/>
      </c>
      <c r="BF129" s="241" t="str">
        <f t="shared" si="27"/>
        <v/>
      </c>
      <c r="BL129" s="241" t="str">
        <f t="shared" si="22"/>
        <v/>
      </c>
      <c r="BM129" s="241" t="str">
        <f t="shared" si="23"/>
        <v/>
      </c>
      <c r="BS129" s="247" t="str">
        <f t="shared" si="26"/>
        <v/>
      </c>
      <c r="BV129" s="242" t="str">
        <f t="shared" si="24"/>
        <v/>
      </c>
      <c r="BW129" s="248" t="str">
        <f t="shared" si="25"/>
        <v/>
      </c>
    </row>
    <row r="130" spans="1:75" x14ac:dyDescent="0.3">
      <c r="A130" s="169">
        <v>128</v>
      </c>
      <c r="B130" s="169">
        <v>128</v>
      </c>
      <c r="G130" s="169" t="str">
        <f t="shared" si="32"/>
        <v xml:space="preserve">  </v>
      </c>
      <c r="AI130" s="236">
        <f t="shared" si="33"/>
        <v>0</v>
      </c>
      <c r="AJ130" s="218"/>
      <c r="AM130" s="275" t="s">
        <v>536</v>
      </c>
      <c r="AO130" s="178">
        <f t="shared" si="34"/>
        <v>0</v>
      </c>
      <c r="AP130" s="178" t="e">
        <f t="shared" si="35"/>
        <v>#VALUE!</v>
      </c>
      <c r="AQ130" s="237" t="str">
        <f t="shared" si="21"/>
        <v/>
      </c>
      <c r="BF130" s="241" t="str">
        <f t="shared" si="27"/>
        <v/>
      </c>
      <c r="BL130" s="241" t="str">
        <f t="shared" si="22"/>
        <v/>
      </c>
      <c r="BM130" s="241" t="str">
        <f t="shared" si="23"/>
        <v/>
      </c>
      <c r="BS130" s="247" t="str">
        <f t="shared" si="26"/>
        <v/>
      </c>
      <c r="BV130" s="242" t="str">
        <f t="shared" si="24"/>
        <v/>
      </c>
      <c r="BW130" s="248" t="str">
        <f t="shared" si="25"/>
        <v/>
      </c>
    </row>
    <row r="131" spans="1:75" x14ac:dyDescent="0.3">
      <c r="A131" s="169">
        <v>129</v>
      </c>
      <c r="B131" s="169">
        <v>129</v>
      </c>
      <c r="G131" s="169" t="str">
        <f t="shared" ref="G131:G194" si="36">CONCATENATE(D131," ",E131," ",F131)</f>
        <v xml:space="preserve">  </v>
      </c>
      <c r="AI131" s="236">
        <f t="shared" si="33"/>
        <v>0</v>
      </c>
      <c r="AJ131" s="218"/>
      <c r="AM131" s="275" t="s">
        <v>536</v>
      </c>
      <c r="AO131" s="178">
        <f t="shared" si="34"/>
        <v>0</v>
      </c>
      <c r="AP131" s="178" t="e">
        <f t="shared" si="35"/>
        <v>#VALUE!</v>
      </c>
      <c r="AQ131" s="237" t="str">
        <f t="shared" si="21"/>
        <v/>
      </c>
      <c r="BF131" s="241" t="str">
        <f t="shared" si="27"/>
        <v/>
      </c>
      <c r="BL131" s="241" t="str">
        <f t="shared" si="22"/>
        <v/>
      </c>
      <c r="BM131" s="241" t="str">
        <f t="shared" si="23"/>
        <v/>
      </c>
      <c r="BS131" s="247" t="str">
        <f t="shared" si="26"/>
        <v/>
      </c>
      <c r="BV131" s="242" t="str">
        <f t="shared" si="24"/>
        <v/>
      </c>
      <c r="BW131" s="248" t="str">
        <f t="shared" si="25"/>
        <v/>
      </c>
    </row>
    <row r="132" spans="1:75" x14ac:dyDescent="0.3">
      <c r="A132" s="169">
        <v>130</v>
      </c>
      <c r="B132" s="169">
        <v>130</v>
      </c>
      <c r="G132" s="169" t="str">
        <f t="shared" si="36"/>
        <v xml:space="preserve">  </v>
      </c>
      <c r="AI132" s="236">
        <f t="shared" ref="AI132:AI195" si="37">SUM(AA132:AH132)</f>
        <v>0</v>
      </c>
      <c r="AJ132" s="218"/>
      <c r="AM132" s="275" t="s">
        <v>536</v>
      </c>
      <c r="AO132" s="178">
        <f t="shared" si="34"/>
        <v>0</v>
      </c>
      <c r="AP132" s="178" t="e">
        <f t="shared" si="35"/>
        <v>#VALUE!</v>
      </c>
      <c r="AQ132" s="237" t="str">
        <f t="shared" ref="AQ132:AQ195" si="38">IF(AN132="","",AP132/2)</f>
        <v/>
      </c>
      <c r="BF132" s="241" t="str">
        <f t="shared" ref="BF132:BF195" si="39">IF(BE132="","",BE132/2.14)</f>
        <v/>
      </c>
      <c r="BL132" s="241" t="str">
        <f t="shared" ref="BL132:BL195" si="40">IF(BK132="","",IF(AND(BJ132&gt;400,BK132&gt;1),"No Procede",IF(BK132&lt;1,"",BI132-BK132-(BJ132/5))))</f>
        <v/>
      </c>
      <c r="BM132" s="241" t="str">
        <f t="shared" ref="BM132" si="41">IF(BK132="","",IF(AND(BJ132&gt;400,BK132&gt;1),"NO PROCEDE",IF(BK132="","",BJ132/5)))</f>
        <v/>
      </c>
      <c r="BS132" s="247" t="str">
        <f t="shared" si="26"/>
        <v/>
      </c>
      <c r="BV132" s="242" t="str">
        <f t="shared" ref="BV132:BV195" si="42">IF(OR(BT132="",BU132=""),"",ROUND(BT132-BU132,1))</f>
        <v/>
      </c>
      <c r="BW132" s="248" t="str">
        <f t="shared" ref="BW132:BW195" si="43">IF(OR(BT132="",BU132=""),"",ROUND(BU132/BV132,1))</f>
        <v/>
      </c>
    </row>
    <row r="133" spans="1:75" x14ac:dyDescent="0.3">
      <c r="A133" s="169">
        <v>131</v>
      </c>
      <c r="B133" s="169">
        <v>131</v>
      </c>
      <c r="G133" s="169" t="str">
        <f t="shared" si="36"/>
        <v xml:space="preserve">  </v>
      </c>
      <c r="AI133" s="236">
        <f t="shared" si="37"/>
        <v>0</v>
      </c>
      <c r="AJ133" s="218"/>
      <c r="AM133" s="275" t="s">
        <v>536</v>
      </c>
      <c r="AO133" s="178">
        <f t="shared" si="34"/>
        <v>0</v>
      </c>
      <c r="AP133" s="178" t="e">
        <f t="shared" si="35"/>
        <v>#VALUE!</v>
      </c>
      <c r="AQ133" s="237" t="str">
        <f t="shared" si="38"/>
        <v/>
      </c>
      <c r="BF133" s="241" t="str">
        <f t="shared" si="39"/>
        <v/>
      </c>
      <c r="BL133" s="241" t="str">
        <f t="shared" si="40"/>
        <v/>
      </c>
      <c r="BM133" s="241" t="str">
        <f t="shared" ref="BM133:BM195" si="44">IF(BK133="","",IF(AND(BJ133&gt;400,BK133&gt;1),"NO PROCEDE",IF(BK133="","",BJ133/5)))</f>
        <v/>
      </c>
      <c r="BS133" s="247" t="str">
        <f t="shared" ref="BS133:BS196" si="45">IF(BQ133="","",SUM(BQ133:BR133))</f>
        <v/>
      </c>
      <c r="BV133" s="242" t="str">
        <f t="shared" si="42"/>
        <v/>
      </c>
      <c r="BW133" s="248" t="str">
        <f t="shared" si="43"/>
        <v/>
      </c>
    </row>
    <row r="134" spans="1:75" x14ac:dyDescent="0.3">
      <c r="A134" s="169">
        <v>132</v>
      </c>
      <c r="B134" s="169">
        <v>132</v>
      </c>
      <c r="G134" s="169" t="str">
        <f t="shared" si="36"/>
        <v xml:space="preserve">  </v>
      </c>
      <c r="AI134" s="236">
        <f t="shared" si="37"/>
        <v>0</v>
      </c>
      <c r="AJ134" s="218"/>
      <c r="AM134" s="275" t="s">
        <v>536</v>
      </c>
      <c r="AO134" s="178">
        <f t="shared" si="34"/>
        <v>0</v>
      </c>
      <c r="AP134" s="178" t="e">
        <f t="shared" si="35"/>
        <v>#VALUE!</v>
      </c>
      <c r="AQ134" s="237" t="str">
        <f t="shared" si="38"/>
        <v/>
      </c>
      <c r="BF134" s="241" t="str">
        <f t="shared" si="39"/>
        <v/>
      </c>
      <c r="BL134" s="241" t="str">
        <f t="shared" si="40"/>
        <v/>
      </c>
      <c r="BM134" s="241" t="str">
        <f t="shared" si="44"/>
        <v/>
      </c>
      <c r="BS134" s="247" t="str">
        <f t="shared" si="45"/>
        <v/>
      </c>
      <c r="BV134" s="242" t="str">
        <f t="shared" si="42"/>
        <v/>
      </c>
      <c r="BW134" s="248" t="str">
        <f t="shared" si="43"/>
        <v/>
      </c>
    </row>
    <row r="135" spans="1:75" x14ac:dyDescent="0.3">
      <c r="A135" s="169">
        <v>133</v>
      </c>
      <c r="B135" s="169">
        <v>133</v>
      </c>
      <c r="G135" s="169" t="str">
        <f t="shared" si="36"/>
        <v xml:space="preserve">  </v>
      </c>
      <c r="AI135" s="236">
        <f t="shared" si="37"/>
        <v>0</v>
      </c>
      <c r="AJ135" s="218"/>
      <c r="AM135" s="275" t="s">
        <v>536</v>
      </c>
      <c r="AO135" s="178">
        <f t="shared" si="34"/>
        <v>0</v>
      </c>
      <c r="AP135" s="178" t="e">
        <f t="shared" si="35"/>
        <v>#VALUE!</v>
      </c>
      <c r="AQ135" s="237" t="str">
        <f t="shared" si="38"/>
        <v/>
      </c>
      <c r="BF135" s="241" t="str">
        <f t="shared" si="39"/>
        <v/>
      </c>
      <c r="BL135" s="241" t="str">
        <f t="shared" si="40"/>
        <v/>
      </c>
      <c r="BM135" s="241" t="str">
        <f t="shared" si="44"/>
        <v/>
      </c>
      <c r="BS135" s="247" t="str">
        <f t="shared" si="45"/>
        <v/>
      </c>
      <c r="BV135" s="242" t="str">
        <f t="shared" si="42"/>
        <v/>
      </c>
      <c r="BW135" s="248" t="str">
        <f t="shared" si="43"/>
        <v/>
      </c>
    </row>
    <row r="136" spans="1:75" x14ac:dyDescent="0.3">
      <c r="A136" s="169">
        <v>134</v>
      </c>
      <c r="B136" s="169">
        <v>134</v>
      </c>
      <c r="G136" s="169" t="str">
        <f t="shared" si="36"/>
        <v xml:space="preserve">  </v>
      </c>
      <c r="AI136" s="236">
        <f t="shared" si="37"/>
        <v>0</v>
      </c>
      <c r="AJ136" s="218"/>
      <c r="AM136" s="275" t="s">
        <v>536</v>
      </c>
      <c r="AO136" s="178">
        <f t="shared" si="34"/>
        <v>0</v>
      </c>
      <c r="AP136" s="178" t="e">
        <f t="shared" si="35"/>
        <v>#VALUE!</v>
      </c>
      <c r="AQ136" s="237" t="str">
        <f t="shared" si="38"/>
        <v/>
      </c>
      <c r="BF136" s="241" t="str">
        <f t="shared" si="39"/>
        <v/>
      </c>
      <c r="BL136" s="241" t="str">
        <f t="shared" si="40"/>
        <v/>
      </c>
      <c r="BM136" s="241" t="str">
        <f t="shared" si="44"/>
        <v/>
      </c>
      <c r="BS136" s="247" t="str">
        <f t="shared" si="45"/>
        <v/>
      </c>
      <c r="BV136" s="242" t="str">
        <f t="shared" si="42"/>
        <v/>
      </c>
      <c r="BW136" s="248" t="str">
        <f t="shared" si="43"/>
        <v/>
      </c>
    </row>
    <row r="137" spans="1:75" x14ac:dyDescent="0.3">
      <c r="A137" s="169">
        <v>135</v>
      </c>
      <c r="B137" s="169">
        <v>135</v>
      </c>
      <c r="G137" s="169" t="str">
        <f t="shared" si="36"/>
        <v xml:space="preserve">  </v>
      </c>
      <c r="AI137" s="236">
        <f t="shared" si="37"/>
        <v>0</v>
      </c>
      <c r="AJ137" s="218"/>
      <c r="AM137" s="275" t="s">
        <v>536</v>
      </c>
      <c r="AO137" s="178">
        <f t="shared" si="34"/>
        <v>0</v>
      </c>
      <c r="AP137" s="178" t="e">
        <f t="shared" si="35"/>
        <v>#VALUE!</v>
      </c>
      <c r="AQ137" s="237" t="str">
        <f t="shared" si="38"/>
        <v/>
      </c>
      <c r="BF137" s="241" t="str">
        <f t="shared" si="39"/>
        <v/>
      </c>
      <c r="BL137" s="241" t="str">
        <f t="shared" si="40"/>
        <v/>
      </c>
      <c r="BM137" s="241" t="str">
        <f t="shared" si="44"/>
        <v/>
      </c>
      <c r="BS137" s="247" t="str">
        <f t="shared" si="45"/>
        <v/>
      </c>
      <c r="BV137" s="242" t="str">
        <f t="shared" si="42"/>
        <v/>
      </c>
      <c r="BW137" s="248" t="str">
        <f t="shared" si="43"/>
        <v/>
      </c>
    </row>
    <row r="138" spans="1:75" x14ac:dyDescent="0.3">
      <c r="A138" s="169">
        <v>136</v>
      </c>
      <c r="B138" s="169">
        <v>136</v>
      </c>
      <c r="G138" s="169" t="str">
        <f t="shared" si="36"/>
        <v xml:space="preserve">  </v>
      </c>
      <c r="AI138" s="236">
        <f t="shared" si="37"/>
        <v>0</v>
      </c>
      <c r="AJ138" s="218"/>
      <c r="AM138" s="275" t="s">
        <v>536</v>
      </c>
      <c r="AO138" s="178">
        <f t="shared" si="34"/>
        <v>0</v>
      </c>
      <c r="AP138" s="178" t="e">
        <f t="shared" si="35"/>
        <v>#VALUE!</v>
      </c>
      <c r="AQ138" s="237" t="str">
        <f t="shared" si="38"/>
        <v/>
      </c>
      <c r="BF138" s="241" t="str">
        <f t="shared" si="39"/>
        <v/>
      </c>
      <c r="BL138" s="241" t="str">
        <f t="shared" si="40"/>
        <v/>
      </c>
      <c r="BM138" s="241" t="str">
        <f t="shared" si="44"/>
        <v/>
      </c>
      <c r="BS138" s="247" t="str">
        <f t="shared" si="45"/>
        <v/>
      </c>
      <c r="BV138" s="242" t="str">
        <f t="shared" si="42"/>
        <v/>
      </c>
      <c r="BW138" s="248" t="str">
        <f t="shared" si="43"/>
        <v/>
      </c>
    </row>
    <row r="139" spans="1:75" x14ac:dyDescent="0.3">
      <c r="A139" s="169">
        <v>137</v>
      </c>
      <c r="B139" s="169">
        <v>137</v>
      </c>
      <c r="G139" s="169" t="str">
        <f t="shared" si="36"/>
        <v xml:space="preserve">  </v>
      </c>
      <c r="AI139" s="236">
        <f t="shared" si="37"/>
        <v>0</v>
      </c>
      <c r="AJ139" s="218"/>
      <c r="AM139" s="275" t="s">
        <v>536</v>
      </c>
      <c r="AO139" s="178">
        <f t="shared" si="34"/>
        <v>0</v>
      </c>
      <c r="AP139" s="178" t="e">
        <f t="shared" si="35"/>
        <v>#VALUE!</v>
      </c>
      <c r="AQ139" s="237" t="str">
        <f t="shared" si="38"/>
        <v/>
      </c>
      <c r="BF139" s="241" t="str">
        <f t="shared" si="39"/>
        <v/>
      </c>
      <c r="BL139" s="241" t="str">
        <f t="shared" si="40"/>
        <v/>
      </c>
      <c r="BM139" s="241" t="str">
        <f t="shared" si="44"/>
        <v/>
      </c>
      <c r="BS139" s="247" t="str">
        <f t="shared" si="45"/>
        <v/>
      </c>
      <c r="BV139" s="242" t="str">
        <f t="shared" si="42"/>
        <v/>
      </c>
      <c r="BW139" s="248" t="str">
        <f t="shared" si="43"/>
        <v/>
      </c>
    </row>
    <row r="140" spans="1:75" x14ac:dyDescent="0.3">
      <c r="A140" s="169">
        <v>138</v>
      </c>
      <c r="B140" s="169">
        <v>138</v>
      </c>
      <c r="G140" s="169" t="str">
        <f t="shared" si="36"/>
        <v xml:space="preserve">  </v>
      </c>
      <c r="AI140" s="236">
        <f t="shared" si="37"/>
        <v>0</v>
      </c>
      <c r="AJ140" s="218"/>
      <c r="AM140" s="275" t="s">
        <v>536</v>
      </c>
      <c r="AO140" s="178">
        <f t="shared" si="34"/>
        <v>0</v>
      </c>
      <c r="AP140" s="178" t="e">
        <f t="shared" si="35"/>
        <v>#VALUE!</v>
      </c>
      <c r="AQ140" s="237" t="str">
        <f t="shared" si="38"/>
        <v/>
      </c>
      <c r="BF140" s="241" t="str">
        <f t="shared" si="39"/>
        <v/>
      </c>
      <c r="BL140" s="241" t="str">
        <f t="shared" si="40"/>
        <v/>
      </c>
      <c r="BM140" s="241" t="str">
        <f t="shared" si="44"/>
        <v/>
      </c>
      <c r="BS140" s="247" t="str">
        <f t="shared" si="45"/>
        <v/>
      </c>
      <c r="BV140" s="242" t="str">
        <f t="shared" si="42"/>
        <v/>
      </c>
      <c r="BW140" s="248" t="str">
        <f t="shared" si="43"/>
        <v/>
      </c>
    </row>
    <row r="141" spans="1:75" x14ac:dyDescent="0.3">
      <c r="A141" s="169">
        <v>139</v>
      </c>
      <c r="B141" s="169">
        <v>139</v>
      </c>
      <c r="G141" s="169" t="str">
        <f t="shared" si="36"/>
        <v xml:space="preserve">  </v>
      </c>
      <c r="AI141" s="236">
        <f t="shared" si="37"/>
        <v>0</v>
      </c>
      <c r="AJ141" s="218"/>
      <c r="AM141" s="275" t="s">
        <v>536</v>
      </c>
      <c r="AO141" s="178">
        <f t="shared" si="34"/>
        <v>0</v>
      </c>
      <c r="AP141" s="178" t="e">
        <f t="shared" si="35"/>
        <v>#VALUE!</v>
      </c>
      <c r="AQ141" s="237" t="str">
        <f t="shared" si="38"/>
        <v/>
      </c>
      <c r="BF141" s="241" t="str">
        <f t="shared" si="39"/>
        <v/>
      </c>
      <c r="BL141" s="241" t="str">
        <f t="shared" si="40"/>
        <v/>
      </c>
      <c r="BM141" s="241" t="str">
        <f t="shared" si="44"/>
        <v/>
      </c>
      <c r="BS141" s="247" t="str">
        <f t="shared" si="45"/>
        <v/>
      </c>
      <c r="BV141" s="242" t="str">
        <f t="shared" si="42"/>
        <v/>
      </c>
      <c r="BW141" s="248" t="str">
        <f t="shared" si="43"/>
        <v/>
      </c>
    </row>
    <row r="142" spans="1:75" x14ac:dyDescent="0.3">
      <c r="A142" s="169">
        <v>140</v>
      </c>
      <c r="B142" s="169">
        <v>140</v>
      </c>
      <c r="G142" s="169" t="str">
        <f t="shared" si="36"/>
        <v xml:space="preserve">  </v>
      </c>
      <c r="AI142" s="236">
        <f t="shared" si="37"/>
        <v>0</v>
      </c>
      <c r="AJ142" s="218"/>
      <c r="AM142" s="275" t="s">
        <v>536</v>
      </c>
      <c r="AO142" s="178">
        <f t="shared" si="34"/>
        <v>0</v>
      </c>
      <c r="AP142" s="178" t="e">
        <f t="shared" si="35"/>
        <v>#VALUE!</v>
      </c>
      <c r="AQ142" s="237" t="str">
        <f t="shared" si="38"/>
        <v/>
      </c>
      <c r="BF142" s="241" t="str">
        <f t="shared" si="39"/>
        <v/>
      </c>
      <c r="BL142" s="241" t="str">
        <f t="shared" si="40"/>
        <v/>
      </c>
      <c r="BM142" s="241" t="str">
        <f t="shared" si="44"/>
        <v/>
      </c>
      <c r="BS142" s="247" t="str">
        <f t="shared" si="45"/>
        <v/>
      </c>
      <c r="BV142" s="242" t="str">
        <f t="shared" si="42"/>
        <v/>
      </c>
      <c r="BW142" s="248" t="str">
        <f t="shared" si="43"/>
        <v/>
      </c>
    </row>
    <row r="143" spans="1:75" x14ac:dyDescent="0.3">
      <c r="A143" s="169">
        <v>141</v>
      </c>
      <c r="B143" s="169">
        <v>141</v>
      </c>
      <c r="G143" s="169" t="str">
        <f t="shared" si="36"/>
        <v xml:space="preserve">  </v>
      </c>
      <c r="AI143" s="236">
        <f t="shared" si="37"/>
        <v>0</v>
      </c>
      <c r="AJ143" s="218"/>
      <c r="AM143" s="275" t="s">
        <v>536</v>
      </c>
      <c r="AO143" s="178">
        <f t="shared" si="34"/>
        <v>0</v>
      </c>
      <c r="AP143" s="178" t="e">
        <f t="shared" si="35"/>
        <v>#VALUE!</v>
      </c>
      <c r="AQ143" s="237" t="str">
        <f t="shared" si="38"/>
        <v/>
      </c>
      <c r="BF143" s="241" t="str">
        <f t="shared" si="39"/>
        <v/>
      </c>
      <c r="BL143" s="241" t="str">
        <f t="shared" si="40"/>
        <v/>
      </c>
      <c r="BM143" s="241" t="str">
        <f t="shared" si="44"/>
        <v/>
      </c>
      <c r="BS143" s="247" t="str">
        <f t="shared" si="45"/>
        <v/>
      </c>
      <c r="BV143" s="242" t="str">
        <f t="shared" si="42"/>
        <v/>
      </c>
      <c r="BW143" s="248" t="str">
        <f t="shared" si="43"/>
        <v/>
      </c>
    </row>
    <row r="144" spans="1:75" x14ac:dyDescent="0.3">
      <c r="A144" s="169">
        <v>142</v>
      </c>
      <c r="B144" s="169">
        <v>142</v>
      </c>
      <c r="G144" s="169" t="str">
        <f t="shared" si="36"/>
        <v xml:space="preserve">  </v>
      </c>
      <c r="AI144" s="236">
        <f t="shared" si="37"/>
        <v>0</v>
      </c>
      <c r="AJ144" s="218"/>
      <c r="AM144" s="275" t="s">
        <v>536</v>
      </c>
      <c r="AO144" s="178">
        <f t="shared" si="34"/>
        <v>0</v>
      </c>
      <c r="AP144" s="178" t="e">
        <f t="shared" si="35"/>
        <v>#VALUE!</v>
      </c>
      <c r="AQ144" s="237" t="str">
        <f t="shared" si="38"/>
        <v/>
      </c>
      <c r="BF144" s="241" t="str">
        <f t="shared" si="39"/>
        <v/>
      </c>
      <c r="BL144" s="241" t="str">
        <f t="shared" si="40"/>
        <v/>
      </c>
      <c r="BM144" s="241" t="str">
        <f t="shared" si="44"/>
        <v/>
      </c>
      <c r="BS144" s="247" t="str">
        <f t="shared" si="45"/>
        <v/>
      </c>
      <c r="BV144" s="242" t="str">
        <f t="shared" si="42"/>
        <v/>
      </c>
      <c r="BW144" s="248" t="str">
        <f t="shared" si="43"/>
        <v/>
      </c>
    </row>
    <row r="145" spans="1:75" x14ac:dyDescent="0.3">
      <c r="A145" s="169">
        <v>143</v>
      </c>
      <c r="B145" s="169">
        <v>143</v>
      </c>
      <c r="G145" s="169" t="str">
        <f t="shared" si="36"/>
        <v xml:space="preserve">  </v>
      </c>
      <c r="AI145" s="236">
        <f t="shared" si="37"/>
        <v>0</v>
      </c>
      <c r="AJ145" s="218"/>
      <c r="AM145" s="275" t="s">
        <v>536</v>
      </c>
      <c r="AO145" s="178">
        <f t="shared" si="34"/>
        <v>0</v>
      </c>
      <c r="AP145" s="178" t="e">
        <f t="shared" si="35"/>
        <v>#VALUE!</v>
      </c>
      <c r="AQ145" s="237" t="str">
        <f t="shared" si="38"/>
        <v/>
      </c>
      <c r="BF145" s="241" t="str">
        <f t="shared" si="39"/>
        <v/>
      </c>
      <c r="BL145" s="241" t="str">
        <f t="shared" si="40"/>
        <v/>
      </c>
      <c r="BM145" s="241" t="str">
        <f t="shared" si="44"/>
        <v/>
      </c>
      <c r="BS145" s="247" t="str">
        <f t="shared" si="45"/>
        <v/>
      </c>
      <c r="BV145" s="242" t="str">
        <f t="shared" si="42"/>
        <v/>
      </c>
      <c r="BW145" s="248" t="str">
        <f t="shared" si="43"/>
        <v/>
      </c>
    </row>
    <row r="146" spans="1:75" x14ac:dyDescent="0.3">
      <c r="A146" s="169">
        <v>144</v>
      </c>
      <c r="B146" s="169">
        <v>144</v>
      </c>
      <c r="G146" s="169" t="str">
        <f t="shared" si="36"/>
        <v xml:space="preserve">  </v>
      </c>
      <c r="AI146" s="236">
        <f t="shared" si="37"/>
        <v>0</v>
      </c>
      <c r="AJ146" s="218"/>
      <c r="AM146" s="275" t="s">
        <v>536</v>
      </c>
      <c r="AO146" s="178">
        <f t="shared" ref="AO146:AO209" si="46">AN146/2</f>
        <v>0</v>
      </c>
      <c r="AP146" s="178" t="e">
        <f t="shared" ref="AP146:AP209" si="47">AM146+AO146</f>
        <v>#VALUE!</v>
      </c>
      <c r="AQ146" s="237" t="str">
        <f t="shared" si="38"/>
        <v/>
      </c>
      <c r="BF146" s="241" t="str">
        <f t="shared" si="39"/>
        <v/>
      </c>
      <c r="BL146" s="241" t="str">
        <f t="shared" si="40"/>
        <v/>
      </c>
      <c r="BM146" s="241" t="str">
        <f t="shared" si="44"/>
        <v/>
      </c>
      <c r="BS146" s="247" t="str">
        <f t="shared" si="45"/>
        <v/>
      </c>
      <c r="BV146" s="242" t="str">
        <f t="shared" si="42"/>
        <v/>
      </c>
      <c r="BW146" s="248" t="str">
        <f t="shared" si="43"/>
        <v/>
      </c>
    </row>
    <row r="147" spans="1:75" x14ac:dyDescent="0.3">
      <c r="A147" s="169">
        <v>145</v>
      </c>
      <c r="B147" s="169">
        <v>145</v>
      </c>
      <c r="G147" s="169" t="str">
        <f t="shared" si="36"/>
        <v xml:space="preserve">  </v>
      </c>
      <c r="AI147" s="236">
        <f t="shared" si="37"/>
        <v>0</v>
      </c>
      <c r="AJ147" s="218"/>
      <c r="AM147" s="275" t="s">
        <v>536</v>
      </c>
      <c r="AO147" s="178">
        <f t="shared" si="46"/>
        <v>0</v>
      </c>
      <c r="AP147" s="178" t="e">
        <f t="shared" si="47"/>
        <v>#VALUE!</v>
      </c>
      <c r="AQ147" s="237" t="str">
        <f t="shared" si="38"/>
        <v/>
      </c>
      <c r="BF147" s="241" t="str">
        <f t="shared" si="39"/>
        <v/>
      </c>
      <c r="BL147" s="241" t="str">
        <f t="shared" si="40"/>
        <v/>
      </c>
      <c r="BM147" s="241" t="str">
        <f t="shared" si="44"/>
        <v/>
      </c>
      <c r="BS147" s="247" t="str">
        <f t="shared" si="45"/>
        <v/>
      </c>
      <c r="BV147" s="242" t="str">
        <f t="shared" si="42"/>
        <v/>
      </c>
      <c r="BW147" s="248" t="str">
        <f t="shared" si="43"/>
        <v/>
      </c>
    </row>
    <row r="148" spans="1:75" x14ac:dyDescent="0.3">
      <c r="A148" s="169">
        <v>146</v>
      </c>
      <c r="B148" s="169">
        <v>146</v>
      </c>
      <c r="G148" s="169" t="str">
        <f t="shared" si="36"/>
        <v xml:space="preserve">  </v>
      </c>
      <c r="AI148" s="236">
        <f t="shared" si="37"/>
        <v>0</v>
      </c>
      <c r="AJ148" s="218"/>
      <c r="AM148" s="275" t="s">
        <v>536</v>
      </c>
      <c r="AO148" s="178">
        <f t="shared" si="46"/>
        <v>0</v>
      </c>
      <c r="AP148" s="178" t="e">
        <f t="shared" si="47"/>
        <v>#VALUE!</v>
      </c>
      <c r="AQ148" s="237" t="str">
        <f t="shared" si="38"/>
        <v/>
      </c>
      <c r="BF148" s="241" t="str">
        <f t="shared" si="39"/>
        <v/>
      </c>
      <c r="BL148" s="241" t="str">
        <f t="shared" si="40"/>
        <v/>
      </c>
      <c r="BM148" s="241" t="str">
        <f t="shared" si="44"/>
        <v/>
      </c>
      <c r="BS148" s="247" t="str">
        <f t="shared" si="45"/>
        <v/>
      </c>
      <c r="BV148" s="242" t="str">
        <f t="shared" si="42"/>
        <v/>
      </c>
      <c r="BW148" s="248" t="str">
        <f t="shared" si="43"/>
        <v/>
      </c>
    </row>
    <row r="149" spans="1:75" x14ac:dyDescent="0.3">
      <c r="A149" s="169">
        <v>147</v>
      </c>
      <c r="B149" s="169">
        <v>147</v>
      </c>
      <c r="G149" s="169" t="str">
        <f t="shared" si="36"/>
        <v xml:space="preserve">  </v>
      </c>
      <c r="AI149" s="236">
        <f t="shared" si="37"/>
        <v>0</v>
      </c>
      <c r="AJ149" s="218"/>
      <c r="AM149" s="275" t="s">
        <v>536</v>
      </c>
      <c r="AO149" s="178">
        <f t="shared" si="46"/>
        <v>0</v>
      </c>
      <c r="AP149" s="178" t="e">
        <f t="shared" si="47"/>
        <v>#VALUE!</v>
      </c>
      <c r="AQ149" s="237" t="str">
        <f t="shared" si="38"/>
        <v/>
      </c>
      <c r="BF149" s="241" t="str">
        <f t="shared" si="39"/>
        <v/>
      </c>
      <c r="BL149" s="241" t="str">
        <f t="shared" si="40"/>
        <v/>
      </c>
      <c r="BM149" s="241" t="str">
        <f t="shared" si="44"/>
        <v/>
      </c>
      <c r="BS149" s="247" t="str">
        <f t="shared" si="45"/>
        <v/>
      </c>
      <c r="BV149" s="242" t="str">
        <f t="shared" si="42"/>
        <v/>
      </c>
      <c r="BW149" s="248" t="str">
        <f t="shared" si="43"/>
        <v/>
      </c>
    </row>
    <row r="150" spans="1:75" x14ac:dyDescent="0.3">
      <c r="A150" s="169">
        <v>148</v>
      </c>
      <c r="B150" s="169">
        <v>148</v>
      </c>
      <c r="G150" s="169" t="str">
        <f t="shared" si="36"/>
        <v xml:space="preserve">  </v>
      </c>
      <c r="AI150" s="236">
        <f t="shared" si="37"/>
        <v>0</v>
      </c>
      <c r="AJ150" s="218"/>
      <c r="AM150" s="275" t="s">
        <v>536</v>
      </c>
      <c r="AO150" s="178">
        <f t="shared" si="46"/>
        <v>0</v>
      </c>
      <c r="AP150" s="178" t="e">
        <f t="shared" si="47"/>
        <v>#VALUE!</v>
      </c>
      <c r="AQ150" s="237" t="str">
        <f t="shared" si="38"/>
        <v/>
      </c>
      <c r="BF150" s="241" t="str">
        <f t="shared" si="39"/>
        <v/>
      </c>
      <c r="BL150" s="241" t="str">
        <f t="shared" si="40"/>
        <v/>
      </c>
      <c r="BM150" s="241" t="str">
        <f t="shared" si="44"/>
        <v/>
      </c>
      <c r="BS150" s="247" t="str">
        <f t="shared" si="45"/>
        <v/>
      </c>
      <c r="BV150" s="242" t="str">
        <f t="shared" si="42"/>
        <v/>
      </c>
      <c r="BW150" s="248" t="str">
        <f t="shared" si="43"/>
        <v/>
      </c>
    </row>
    <row r="151" spans="1:75" x14ac:dyDescent="0.3">
      <c r="A151" s="169">
        <v>149</v>
      </c>
      <c r="B151" s="169">
        <v>149</v>
      </c>
      <c r="G151" s="169" t="str">
        <f t="shared" si="36"/>
        <v xml:space="preserve">  </v>
      </c>
      <c r="AI151" s="236">
        <f t="shared" si="37"/>
        <v>0</v>
      </c>
      <c r="AJ151" s="218"/>
      <c r="AM151" s="275" t="s">
        <v>536</v>
      </c>
      <c r="AO151" s="178">
        <f t="shared" si="46"/>
        <v>0</v>
      </c>
      <c r="AP151" s="178" t="e">
        <f t="shared" si="47"/>
        <v>#VALUE!</v>
      </c>
      <c r="AQ151" s="237" t="str">
        <f t="shared" si="38"/>
        <v/>
      </c>
      <c r="BF151" s="241" t="str">
        <f t="shared" si="39"/>
        <v/>
      </c>
      <c r="BL151" s="241" t="str">
        <f t="shared" si="40"/>
        <v/>
      </c>
      <c r="BM151" s="241" t="str">
        <f t="shared" si="44"/>
        <v/>
      </c>
      <c r="BS151" s="247" t="str">
        <f t="shared" si="45"/>
        <v/>
      </c>
      <c r="BV151" s="242" t="str">
        <f t="shared" si="42"/>
        <v/>
      </c>
      <c r="BW151" s="248" t="str">
        <f t="shared" si="43"/>
        <v/>
      </c>
    </row>
    <row r="152" spans="1:75" x14ac:dyDescent="0.3">
      <c r="A152" s="169">
        <v>150</v>
      </c>
      <c r="B152" s="169">
        <v>150</v>
      </c>
      <c r="G152" s="169" t="str">
        <f t="shared" si="36"/>
        <v xml:space="preserve">  </v>
      </c>
      <c r="AI152" s="236">
        <f t="shared" si="37"/>
        <v>0</v>
      </c>
      <c r="AJ152" s="218"/>
      <c r="AM152" s="275" t="s">
        <v>536</v>
      </c>
      <c r="AO152" s="178">
        <f t="shared" si="46"/>
        <v>0</v>
      </c>
      <c r="AP152" s="178" t="e">
        <f t="shared" si="47"/>
        <v>#VALUE!</v>
      </c>
      <c r="AQ152" s="237" t="str">
        <f t="shared" si="38"/>
        <v/>
      </c>
      <c r="BF152" s="241" t="str">
        <f t="shared" si="39"/>
        <v/>
      </c>
      <c r="BL152" s="241" t="str">
        <f t="shared" si="40"/>
        <v/>
      </c>
      <c r="BM152" s="241" t="str">
        <f t="shared" si="44"/>
        <v/>
      </c>
      <c r="BS152" s="247" t="str">
        <f t="shared" si="45"/>
        <v/>
      </c>
      <c r="BV152" s="242" t="str">
        <f t="shared" si="42"/>
        <v/>
      </c>
      <c r="BW152" s="248" t="str">
        <f t="shared" si="43"/>
        <v/>
      </c>
    </row>
    <row r="153" spans="1:75" x14ac:dyDescent="0.3">
      <c r="A153" s="169">
        <v>151</v>
      </c>
      <c r="B153" s="169">
        <v>151</v>
      </c>
      <c r="G153" s="169" t="str">
        <f t="shared" si="36"/>
        <v xml:space="preserve">  </v>
      </c>
      <c r="AI153" s="236">
        <f t="shared" si="37"/>
        <v>0</v>
      </c>
      <c r="AJ153" s="218"/>
      <c r="AM153" s="275" t="s">
        <v>536</v>
      </c>
      <c r="AO153" s="178">
        <f t="shared" si="46"/>
        <v>0</v>
      </c>
      <c r="AP153" s="178" t="e">
        <f t="shared" si="47"/>
        <v>#VALUE!</v>
      </c>
      <c r="AQ153" s="237" t="str">
        <f t="shared" si="38"/>
        <v/>
      </c>
      <c r="BF153" s="241" t="str">
        <f t="shared" si="39"/>
        <v/>
      </c>
      <c r="BL153" s="241" t="str">
        <f t="shared" si="40"/>
        <v/>
      </c>
      <c r="BM153" s="241" t="str">
        <f t="shared" si="44"/>
        <v/>
      </c>
      <c r="BS153" s="247" t="str">
        <f t="shared" si="45"/>
        <v/>
      </c>
      <c r="BV153" s="242" t="str">
        <f t="shared" si="42"/>
        <v/>
      </c>
      <c r="BW153" s="248" t="str">
        <f t="shared" si="43"/>
        <v/>
      </c>
    </row>
    <row r="154" spans="1:75" x14ac:dyDescent="0.3">
      <c r="A154" s="169">
        <v>152</v>
      </c>
      <c r="B154" s="169">
        <v>152</v>
      </c>
      <c r="G154" s="169" t="str">
        <f t="shared" si="36"/>
        <v xml:space="preserve">  </v>
      </c>
      <c r="AI154" s="236">
        <f t="shared" si="37"/>
        <v>0</v>
      </c>
      <c r="AJ154" s="218"/>
      <c r="AM154" s="275" t="s">
        <v>536</v>
      </c>
      <c r="AO154" s="178">
        <f t="shared" si="46"/>
        <v>0</v>
      </c>
      <c r="AP154" s="178" t="e">
        <f t="shared" si="47"/>
        <v>#VALUE!</v>
      </c>
      <c r="AQ154" s="237" t="str">
        <f t="shared" si="38"/>
        <v/>
      </c>
      <c r="BF154" s="241" t="str">
        <f t="shared" si="39"/>
        <v/>
      </c>
      <c r="BL154" s="241" t="str">
        <f t="shared" si="40"/>
        <v/>
      </c>
      <c r="BM154" s="241" t="str">
        <f t="shared" si="44"/>
        <v/>
      </c>
      <c r="BS154" s="247" t="str">
        <f t="shared" si="45"/>
        <v/>
      </c>
      <c r="BV154" s="242" t="str">
        <f t="shared" si="42"/>
        <v/>
      </c>
      <c r="BW154" s="248" t="str">
        <f t="shared" si="43"/>
        <v/>
      </c>
    </row>
    <row r="155" spans="1:75" x14ac:dyDescent="0.3">
      <c r="A155" s="169">
        <v>153</v>
      </c>
      <c r="B155" s="169">
        <v>153</v>
      </c>
      <c r="G155" s="169" t="str">
        <f t="shared" si="36"/>
        <v xml:space="preserve">  </v>
      </c>
      <c r="AI155" s="236">
        <f t="shared" si="37"/>
        <v>0</v>
      </c>
      <c r="AJ155" s="218"/>
      <c r="AM155" s="275" t="s">
        <v>536</v>
      </c>
      <c r="AO155" s="178">
        <f t="shared" si="46"/>
        <v>0</v>
      </c>
      <c r="AP155" s="178" t="e">
        <f t="shared" si="47"/>
        <v>#VALUE!</v>
      </c>
      <c r="AQ155" s="237" t="str">
        <f t="shared" si="38"/>
        <v/>
      </c>
      <c r="BF155" s="241" t="str">
        <f t="shared" si="39"/>
        <v/>
      </c>
      <c r="BL155" s="241" t="str">
        <f t="shared" si="40"/>
        <v/>
      </c>
      <c r="BM155" s="241" t="str">
        <f t="shared" si="44"/>
        <v/>
      </c>
      <c r="BS155" s="247" t="str">
        <f t="shared" si="45"/>
        <v/>
      </c>
      <c r="BV155" s="242" t="str">
        <f t="shared" si="42"/>
        <v/>
      </c>
      <c r="BW155" s="248" t="str">
        <f t="shared" si="43"/>
        <v/>
      </c>
    </row>
    <row r="156" spans="1:75" x14ac:dyDescent="0.3">
      <c r="A156" s="169">
        <v>154</v>
      </c>
      <c r="B156" s="169">
        <v>154</v>
      </c>
      <c r="G156" s="169" t="str">
        <f t="shared" si="36"/>
        <v xml:space="preserve">  </v>
      </c>
      <c r="AI156" s="236">
        <f t="shared" si="37"/>
        <v>0</v>
      </c>
      <c r="AJ156" s="218"/>
      <c r="AM156" s="275" t="s">
        <v>536</v>
      </c>
      <c r="AO156" s="178">
        <f t="shared" si="46"/>
        <v>0</v>
      </c>
      <c r="AP156" s="178" t="e">
        <f t="shared" si="47"/>
        <v>#VALUE!</v>
      </c>
      <c r="AQ156" s="237" t="str">
        <f t="shared" si="38"/>
        <v/>
      </c>
      <c r="BF156" s="241" t="str">
        <f t="shared" si="39"/>
        <v/>
      </c>
      <c r="BL156" s="241" t="str">
        <f t="shared" si="40"/>
        <v/>
      </c>
      <c r="BM156" s="241" t="str">
        <f t="shared" si="44"/>
        <v/>
      </c>
      <c r="BS156" s="247" t="str">
        <f t="shared" si="45"/>
        <v/>
      </c>
      <c r="BV156" s="242" t="str">
        <f t="shared" si="42"/>
        <v/>
      </c>
      <c r="BW156" s="248" t="str">
        <f t="shared" si="43"/>
        <v/>
      </c>
    </row>
    <row r="157" spans="1:75" x14ac:dyDescent="0.3">
      <c r="A157" s="169">
        <v>155</v>
      </c>
      <c r="B157" s="169">
        <v>155</v>
      </c>
      <c r="G157" s="169" t="str">
        <f t="shared" si="36"/>
        <v xml:space="preserve">  </v>
      </c>
      <c r="AI157" s="236">
        <f t="shared" si="37"/>
        <v>0</v>
      </c>
      <c r="AJ157" s="218"/>
      <c r="AM157" s="275" t="s">
        <v>536</v>
      </c>
      <c r="AO157" s="178">
        <f t="shared" si="46"/>
        <v>0</v>
      </c>
      <c r="AP157" s="178" t="e">
        <f t="shared" si="47"/>
        <v>#VALUE!</v>
      </c>
      <c r="AQ157" s="237" t="str">
        <f t="shared" si="38"/>
        <v/>
      </c>
      <c r="BF157" s="241" t="str">
        <f t="shared" si="39"/>
        <v/>
      </c>
      <c r="BL157" s="241" t="str">
        <f t="shared" si="40"/>
        <v/>
      </c>
      <c r="BM157" s="241" t="str">
        <f t="shared" si="44"/>
        <v/>
      </c>
      <c r="BS157" s="247" t="str">
        <f t="shared" si="45"/>
        <v/>
      </c>
      <c r="BV157" s="242" t="str">
        <f t="shared" si="42"/>
        <v/>
      </c>
      <c r="BW157" s="248" t="str">
        <f t="shared" si="43"/>
        <v/>
      </c>
    </row>
    <row r="158" spans="1:75" x14ac:dyDescent="0.3">
      <c r="A158" s="169">
        <v>156</v>
      </c>
      <c r="B158" s="169">
        <v>156</v>
      </c>
      <c r="G158" s="169" t="str">
        <f t="shared" si="36"/>
        <v xml:space="preserve">  </v>
      </c>
      <c r="AI158" s="236">
        <f t="shared" si="37"/>
        <v>0</v>
      </c>
      <c r="AJ158" s="218"/>
      <c r="AM158" s="275" t="s">
        <v>536</v>
      </c>
      <c r="AO158" s="178">
        <f t="shared" si="46"/>
        <v>0</v>
      </c>
      <c r="AP158" s="178" t="e">
        <f t="shared" si="47"/>
        <v>#VALUE!</v>
      </c>
      <c r="AQ158" s="237" t="str">
        <f t="shared" si="38"/>
        <v/>
      </c>
      <c r="BF158" s="241" t="str">
        <f t="shared" si="39"/>
        <v/>
      </c>
      <c r="BL158" s="241" t="str">
        <f t="shared" si="40"/>
        <v/>
      </c>
      <c r="BM158" s="241" t="str">
        <f t="shared" si="44"/>
        <v/>
      </c>
      <c r="BS158" s="247" t="str">
        <f t="shared" si="45"/>
        <v/>
      </c>
      <c r="BV158" s="242" t="str">
        <f t="shared" si="42"/>
        <v/>
      </c>
      <c r="BW158" s="248" t="str">
        <f t="shared" si="43"/>
        <v/>
      </c>
    </row>
    <row r="159" spans="1:75" x14ac:dyDescent="0.3">
      <c r="A159" s="169">
        <v>157</v>
      </c>
      <c r="B159" s="169">
        <v>157</v>
      </c>
      <c r="G159" s="169" t="str">
        <f t="shared" si="36"/>
        <v xml:space="preserve">  </v>
      </c>
      <c r="AI159" s="236">
        <f t="shared" si="37"/>
        <v>0</v>
      </c>
      <c r="AJ159" s="218"/>
      <c r="AM159" s="275" t="s">
        <v>536</v>
      </c>
      <c r="AO159" s="178">
        <f t="shared" si="46"/>
        <v>0</v>
      </c>
      <c r="AP159" s="178" t="e">
        <f t="shared" si="47"/>
        <v>#VALUE!</v>
      </c>
      <c r="AQ159" s="237" t="str">
        <f t="shared" si="38"/>
        <v/>
      </c>
      <c r="BF159" s="241" t="str">
        <f t="shared" si="39"/>
        <v/>
      </c>
      <c r="BL159" s="241" t="str">
        <f t="shared" si="40"/>
        <v/>
      </c>
      <c r="BM159" s="241" t="str">
        <f t="shared" si="44"/>
        <v/>
      </c>
      <c r="BS159" s="247" t="str">
        <f t="shared" si="45"/>
        <v/>
      </c>
      <c r="BV159" s="242" t="str">
        <f t="shared" si="42"/>
        <v/>
      </c>
      <c r="BW159" s="248" t="str">
        <f t="shared" si="43"/>
        <v/>
      </c>
    </row>
    <row r="160" spans="1:75" x14ac:dyDescent="0.3">
      <c r="A160" s="169">
        <v>158</v>
      </c>
      <c r="B160" s="169">
        <v>158</v>
      </c>
      <c r="G160" s="169" t="str">
        <f t="shared" si="36"/>
        <v xml:space="preserve">  </v>
      </c>
      <c r="AI160" s="236">
        <f t="shared" si="37"/>
        <v>0</v>
      </c>
      <c r="AJ160" s="218"/>
      <c r="AM160" s="275" t="s">
        <v>536</v>
      </c>
      <c r="AO160" s="178">
        <f t="shared" si="46"/>
        <v>0</v>
      </c>
      <c r="AP160" s="178" t="e">
        <f t="shared" si="47"/>
        <v>#VALUE!</v>
      </c>
      <c r="AQ160" s="237" t="str">
        <f t="shared" si="38"/>
        <v/>
      </c>
      <c r="BF160" s="241" t="str">
        <f t="shared" si="39"/>
        <v/>
      </c>
      <c r="BL160" s="241" t="str">
        <f t="shared" si="40"/>
        <v/>
      </c>
      <c r="BM160" s="241" t="str">
        <f t="shared" si="44"/>
        <v/>
      </c>
      <c r="BS160" s="247" t="str">
        <f t="shared" si="45"/>
        <v/>
      </c>
      <c r="BV160" s="242" t="str">
        <f t="shared" si="42"/>
        <v/>
      </c>
      <c r="BW160" s="248" t="str">
        <f t="shared" si="43"/>
        <v/>
      </c>
    </row>
    <row r="161" spans="1:75" x14ac:dyDescent="0.3">
      <c r="A161" s="169">
        <v>159</v>
      </c>
      <c r="B161" s="169">
        <v>159</v>
      </c>
      <c r="G161" s="169" t="str">
        <f t="shared" si="36"/>
        <v xml:space="preserve">  </v>
      </c>
      <c r="AI161" s="236">
        <f t="shared" si="37"/>
        <v>0</v>
      </c>
      <c r="AJ161" s="218"/>
      <c r="AM161" s="275" t="s">
        <v>536</v>
      </c>
      <c r="AO161" s="178">
        <f t="shared" si="46"/>
        <v>0</v>
      </c>
      <c r="AP161" s="178" t="e">
        <f t="shared" si="47"/>
        <v>#VALUE!</v>
      </c>
      <c r="AQ161" s="237" t="str">
        <f t="shared" si="38"/>
        <v/>
      </c>
      <c r="BF161" s="241" t="str">
        <f t="shared" si="39"/>
        <v/>
      </c>
      <c r="BL161" s="241" t="str">
        <f t="shared" si="40"/>
        <v/>
      </c>
      <c r="BM161" s="241" t="str">
        <f t="shared" si="44"/>
        <v/>
      </c>
      <c r="BS161" s="247" t="str">
        <f t="shared" si="45"/>
        <v/>
      </c>
      <c r="BV161" s="242" t="str">
        <f t="shared" si="42"/>
        <v/>
      </c>
      <c r="BW161" s="248" t="str">
        <f t="shared" si="43"/>
        <v/>
      </c>
    </row>
    <row r="162" spans="1:75" x14ac:dyDescent="0.3">
      <c r="A162" s="169">
        <v>160</v>
      </c>
      <c r="B162" s="169">
        <v>160</v>
      </c>
      <c r="G162" s="169" t="str">
        <f t="shared" si="36"/>
        <v xml:space="preserve">  </v>
      </c>
      <c r="AI162" s="236">
        <f t="shared" si="37"/>
        <v>0</v>
      </c>
      <c r="AJ162" s="218"/>
      <c r="AM162" s="275" t="s">
        <v>536</v>
      </c>
      <c r="AO162" s="178">
        <f t="shared" si="46"/>
        <v>0</v>
      </c>
      <c r="AP162" s="178" t="e">
        <f t="shared" si="47"/>
        <v>#VALUE!</v>
      </c>
      <c r="AQ162" s="237" t="str">
        <f t="shared" si="38"/>
        <v/>
      </c>
      <c r="BF162" s="241" t="str">
        <f t="shared" si="39"/>
        <v/>
      </c>
      <c r="BL162" s="241" t="str">
        <f t="shared" si="40"/>
        <v/>
      </c>
      <c r="BM162" s="241" t="str">
        <f t="shared" si="44"/>
        <v/>
      </c>
      <c r="BS162" s="247" t="str">
        <f t="shared" si="45"/>
        <v/>
      </c>
      <c r="BV162" s="242" t="str">
        <f t="shared" si="42"/>
        <v/>
      </c>
      <c r="BW162" s="248" t="str">
        <f t="shared" si="43"/>
        <v/>
      </c>
    </row>
    <row r="163" spans="1:75" x14ac:dyDescent="0.3">
      <c r="A163" s="169">
        <v>161</v>
      </c>
      <c r="B163" s="169">
        <v>161</v>
      </c>
      <c r="G163" s="169" t="str">
        <f t="shared" si="36"/>
        <v xml:space="preserve">  </v>
      </c>
      <c r="AI163" s="236">
        <f t="shared" si="37"/>
        <v>0</v>
      </c>
      <c r="AJ163" s="218"/>
      <c r="AM163" s="275" t="s">
        <v>536</v>
      </c>
      <c r="AO163" s="178">
        <f t="shared" si="46"/>
        <v>0</v>
      </c>
      <c r="AP163" s="178" t="e">
        <f t="shared" si="47"/>
        <v>#VALUE!</v>
      </c>
      <c r="AQ163" s="237" t="str">
        <f t="shared" si="38"/>
        <v/>
      </c>
      <c r="BF163" s="241" t="str">
        <f t="shared" si="39"/>
        <v/>
      </c>
      <c r="BL163" s="241" t="str">
        <f t="shared" si="40"/>
        <v/>
      </c>
      <c r="BM163" s="241" t="str">
        <f t="shared" si="44"/>
        <v/>
      </c>
      <c r="BS163" s="247" t="str">
        <f t="shared" si="45"/>
        <v/>
      </c>
      <c r="BV163" s="242" t="str">
        <f t="shared" si="42"/>
        <v/>
      </c>
      <c r="BW163" s="248" t="str">
        <f t="shared" si="43"/>
        <v/>
      </c>
    </row>
    <row r="164" spans="1:75" x14ac:dyDescent="0.3">
      <c r="A164" s="169">
        <v>162</v>
      </c>
      <c r="B164" s="169">
        <v>162</v>
      </c>
      <c r="G164" s="169" t="str">
        <f t="shared" si="36"/>
        <v xml:space="preserve">  </v>
      </c>
      <c r="AI164" s="236">
        <f t="shared" si="37"/>
        <v>0</v>
      </c>
      <c r="AJ164" s="218"/>
      <c r="AM164" s="275" t="s">
        <v>536</v>
      </c>
      <c r="AO164" s="178">
        <f t="shared" si="46"/>
        <v>0</v>
      </c>
      <c r="AP164" s="178" t="e">
        <f t="shared" si="47"/>
        <v>#VALUE!</v>
      </c>
      <c r="AQ164" s="237" t="str">
        <f t="shared" si="38"/>
        <v/>
      </c>
      <c r="BF164" s="241" t="str">
        <f t="shared" si="39"/>
        <v/>
      </c>
      <c r="BL164" s="241" t="str">
        <f t="shared" si="40"/>
        <v/>
      </c>
      <c r="BM164" s="241" t="str">
        <f t="shared" si="44"/>
        <v/>
      </c>
      <c r="BS164" s="247" t="str">
        <f t="shared" si="45"/>
        <v/>
      </c>
      <c r="BV164" s="242" t="str">
        <f t="shared" si="42"/>
        <v/>
      </c>
      <c r="BW164" s="248" t="str">
        <f t="shared" si="43"/>
        <v/>
      </c>
    </row>
    <row r="165" spans="1:75" x14ac:dyDescent="0.3">
      <c r="A165" s="169">
        <v>163</v>
      </c>
      <c r="B165" s="169">
        <v>163</v>
      </c>
      <c r="G165" s="169" t="str">
        <f t="shared" si="36"/>
        <v xml:space="preserve">  </v>
      </c>
      <c r="AI165" s="236">
        <f t="shared" si="37"/>
        <v>0</v>
      </c>
      <c r="AJ165" s="218"/>
      <c r="AM165" s="275" t="s">
        <v>536</v>
      </c>
      <c r="AO165" s="178">
        <f t="shared" si="46"/>
        <v>0</v>
      </c>
      <c r="AP165" s="178" t="e">
        <f t="shared" si="47"/>
        <v>#VALUE!</v>
      </c>
      <c r="AQ165" s="237" t="str">
        <f t="shared" si="38"/>
        <v/>
      </c>
      <c r="BF165" s="241" t="str">
        <f t="shared" si="39"/>
        <v/>
      </c>
      <c r="BL165" s="241" t="str">
        <f t="shared" si="40"/>
        <v/>
      </c>
      <c r="BM165" s="241" t="str">
        <f t="shared" si="44"/>
        <v/>
      </c>
      <c r="BS165" s="247" t="str">
        <f t="shared" si="45"/>
        <v/>
      </c>
      <c r="BV165" s="242" t="str">
        <f t="shared" si="42"/>
        <v/>
      </c>
      <c r="BW165" s="248" t="str">
        <f t="shared" si="43"/>
        <v/>
      </c>
    </row>
    <row r="166" spans="1:75" x14ac:dyDescent="0.3">
      <c r="A166" s="169">
        <v>164</v>
      </c>
      <c r="B166" s="169">
        <v>164</v>
      </c>
      <c r="G166" s="169" t="str">
        <f t="shared" si="36"/>
        <v xml:space="preserve">  </v>
      </c>
      <c r="AI166" s="236">
        <f t="shared" si="37"/>
        <v>0</v>
      </c>
      <c r="AJ166" s="218"/>
      <c r="AM166" s="275" t="s">
        <v>536</v>
      </c>
      <c r="AO166" s="178">
        <f t="shared" si="46"/>
        <v>0</v>
      </c>
      <c r="AP166" s="178" t="e">
        <f t="shared" si="47"/>
        <v>#VALUE!</v>
      </c>
      <c r="AQ166" s="237" t="str">
        <f t="shared" si="38"/>
        <v/>
      </c>
      <c r="BF166" s="241" t="str">
        <f t="shared" si="39"/>
        <v/>
      </c>
      <c r="BL166" s="241" t="str">
        <f t="shared" si="40"/>
        <v/>
      </c>
      <c r="BM166" s="241" t="str">
        <f t="shared" si="44"/>
        <v/>
      </c>
      <c r="BS166" s="247" t="str">
        <f t="shared" si="45"/>
        <v/>
      </c>
      <c r="BV166" s="242" t="str">
        <f t="shared" si="42"/>
        <v/>
      </c>
      <c r="BW166" s="248" t="str">
        <f t="shared" si="43"/>
        <v/>
      </c>
    </row>
    <row r="167" spans="1:75" x14ac:dyDescent="0.3">
      <c r="A167" s="169">
        <v>165</v>
      </c>
      <c r="B167" s="169">
        <v>165</v>
      </c>
      <c r="G167" s="169" t="str">
        <f t="shared" si="36"/>
        <v xml:space="preserve">  </v>
      </c>
      <c r="AI167" s="236">
        <f t="shared" si="37"/>
        <v>0</v>
      </c>
      <c r="AJ167" s="218"/>
      <c r="AM167" s="275" t="s">
        <v>536</v>
      </c>
      <c r="AO167" s="178">
        <f t="shared" si="46"/>
        <v>0</v>
      </c>
      <c r="AP167" s="178" t="e">
        <f t="shared" si="47"/>
        <v>#VALUE!</v>
      </c>
      <c r="AQ167" s="237" t="str">
        <f t="shared" si="38"/>
        <v/>
      </c>
      <c r="BF167" s="241" t="str">
        <f t="shared" si="39"/>
        <v/>
      </c>
      <c r="BL167" s="241" t="str">
        <f t="shared" si="40"/>
        <v/>
      </c>
      <c r="BM167" s="241" t="str">
        <f t="shared" si="44"/>
        <v/>
      </c>
      <c r="BS167" s="247" t="str">
        <f t="shared" si="45"/>
        <v/>
      </c>
      <c r="BV167" s="242" t="str">
        <f t="shared" si="42"/>
        <v/>
      </c>
      <c r="BW167" s="248" t="str">
        <f t="shared" si="43"/>
        <v/>
      </c>
    </row>
    <row r="168" spans="1:75" x14ac:dyDescent="0.3">
      <c r="A168" s="169">
        <v>166</v>
      </c>
      <c r="B168" s="169">
        <v>166</v>
      </c>
      <c r="G168" s="169" t="str">
        <f t="shared" si="36"/>
        <v xml:space="preserve">  </v>
      </c>
      <c r="AI168" s="236">
        <f t="shared" si="37"/>
        <v>0</v>
      </c>
      <c r="AJ168" s="218"/>
      <c r="AM168" s="275" t="s">
        <v>536</v>
      </c>
      <c r="AO168" s="178">
        <f t="shared" si="46"/>
        <v>0</v>
      </c>
      <c r="AP168" s="178" t="e">
        <f t="shared" si="47"/>
        <v>#VALUE!</v>
      </c>
      <c r="AQ168" s="237" t="str">
        <f t="shared" si="38"/>
        <v/>
      </c>
      <c r="BF168" s="241" t="str">
        <f t="shared" si="39"/>
        <v/>
      </c>
      <c r="BL168" s="241" t="str">
        <f t="shared" si="40"/>
        <v/>
      </c>
      <c r="BM168" s="241" t="str">
        <f t="shared" si="44"/>
        <v/>
      </c>
      <c r="BS168" s="247" t="str">
        <f t="shared" si="45"/>
        <v/>
      </c>
      <c r="BV168" s="242" t="str">
        <f t="shared" si="42"/>
        <v/>
      </c>
      <c r="BW168" s="248" t="str">
        <f t="shared" si="43"/>
        <v/>
      </c>
    </row>
    <row r="169" spans="1:75" x14ac:dyDescent="0.3">
      <c r="A169" s="169">
        <v>167</v>
      </c>
      <c r="B169" s="169">
        <v>167</v>
      </c>
      <c r="G169" s="169" t="str">
        <f t="shared" si="36"/>
        <v xml:space="preserve">  </v>
      </c>
      <c r="AI169" s="236">
        <f t="shared" si="37"/>
        <v>0</v>
      </c>
      <c r="AJ169" s="218"/>
      <c r="AM169" s="275" t="s">
        <v>536</v>
      </c>
      <c r="AO169" s="178">
        <f t="shared" si="46"/>
        <v>0</v>
      </c>
      <c r="AP169" s="178" t="e">
        <f t="shared" si="47"/>
        <v>#VALUE!</v>
      </c>
      <c r="AQ169" s="237" t="str">
        <f t="shared" si="38"/>
        <v/>
      </c>
      <c r="BF169" s="241" t="str">
        <f t="shared" si="39"/>
        <v/>
      </c>
      <c r="BL169" s="241" t="str">
        <f t="shared" si="40"/>
        <v/>
      </c>
      <c r="BM169" s="241" t="str">
        <f t="shared" si="44"/>
        <v/>
      </c>
      <c r="BS169" s="247" t="str">
        <f t="shared" si="45"/>
        <v/>
      </c>
      <c r="BV169" s="242" t="str">
        <f t="shared" si="42"/>
        <v/>
      </c>
      <c r="BW169" s="248" t="str">
        <f t="shared" si="43"/>
        <v/>
      </c>
    </row>
    <row r="170" spans="1:75" x14ac:dyDescent="0.3">
      <c r="A170" s="169">
        <v>168</v>
      </c>
      <c r="B170" s="169">
        <v>168</v>
      </c>
      <c r="G170" s="169" t="str">
        <f t="shared" si="36"/>
        <v xml:space="preserve">  </v>
      </c>
      <c r="AI170" s="236">
        <f t="shared" si="37"/>
        <v>0</v>
      </c>
      <c r="AJ170" s="218"/>
      <c r="AM170" s="275" t="s">
        <v>536</v>
      </c>
      <c r="AO170" s="178">
        <f t="shared" si="46"/>
        <v>0</v>
      </c>
      <c r="AP170" s="178" t="e">
        <f t="shared" si="47"/>
        <v>#VALUE!</v>
      </c>
      <c r="AQ170" s="237" t="str">
        <f t="shared" si="38"/>
        <v/>
      </c>
      <c r="BF170" s="241" t="str">
        <f t="shared" si="39"/>
        <v/>
      </c>
      <c r="BL170" s="241" t="str">
        <f t="shared" si="40"/>
        <v/>
      </c>
      <c r="BM170" s="241" t="str">
        <f t="shared" si="44"/>
        <v/>
      </c>
      <c r="BS170" s="247" t="str">
        <f t="shared" si="45"/>
        <v/>
      </c>
      <c r="BV170" s="242" t="str">
        <f t="shared" si="42"/>
        <v/>
      </c>
      <c r="BW170" s="248" t="str">
        <f t="shared" si="43"/>
        <v/>
      </c>
    </row>
    <row r="171" spans="1:75" x14ac:dyDescent="0.3">
      <c r="A171" s="169">
        <v>169</v>
      </c>
      <c r="B171" s="169">
        <v>169</v>
      </c>
      <c r="G171" s="169" t="str">
        <f t="shared" si="36"/>
        <v xml:space="preserve">  </v>
      </c>
      <c r="AI171" s="236">
        <f t="shared" si="37"/>
        <v>0</v>
      </c>
      <c r="AJ171" s="218"/>
      <c r="AM171" s="275" t="s">
        <v>536</v>
      </c>
      <c r="AO171" s="178">
        <f t="shared" si="46"/>
        <v>0</v>
      </c>
      <c r="AP171" s="178" t="e">
        <f t="shared" si="47"/>
        <v>#VALUE!</v>
      </c>
      <c r="AQ171" s="237" t="str">
        <f t="shared" si="38"/>
        <v/>
      </c>
      <c r="BF171" s="241" t="str">
        <f t="shared" si="39"/>
        <v/>
      </c>
      <c r="BL171" s="241" t="str">
        <f t="shared" si="40"/>
        <v/>
      </c>
      <c r="BM171" s="241" t="str">
        <f t="shared" si="44"/>
        <v/>
      </c>
      <c r="BS171" s="247" t="str">
        <f t="shared" si="45"/>
        <v/>
      </c>
      <c r="BV171" s="242" t="str">
        <f t="shared" si="42"/>
        <v/>
      </c>
      <c r="BW171" s="248" t="str">
        <f t="shared" si="43"/>
        <v/>
      </c>
    </row>
    <row r="172" spans="1:75" x14ac:dyDescent="0.3">
      <c r="A172" s="169">
        <v>170</v>
      </c>
      <c r="B172" s="169">
        <v>170</v>
      </c>
      <c r="G172" s="169" t="str">
        <f t="shared" si="36"/>
        <v xml:space="preserve">  </v>
      </c>
      <c r="AI172" s="236">
        <f t="shared" si="37"/>
        <v>0</v>
      </c>
      <c r="AJ172" s="218"/>
      <c r="AM172" s="275" t="s">
        <v>536</v>
      </c>
      <c r="AO172" s="178">
        <f t="shared" si="46"/>
        <v>0</v>
      </c>
      <c r="AP172" s="178" t="e">
        <f t="shared" si="47"/>
        <v>#VALUE!</v>
      </c>
      <c r="AQ172" s="237" t="str">
        <f t="shared" si="38"/>
        <v/>
      </c>
      <c r="BF172" s="241" t="str">
        <f t="shared" si="39"/>
        <v/>
      </c>
      <c r="BL172" s="241" t="str">
        <f t="shared" si="40"/>
        <v/>
      </c>
      <c r="BM172" s="241" t="str">
        <f t="shared" si="44"/>
        <v/>
      </c>
      <c r="BS172" s="247" t="str">
        <f t="shared" si="45"/>
        <v/>
      </c>
      <c r="BV172" s="242" t="str">
        <f t="shared" si="42"/>
        <v/>
      </c>
      <c r="BW172" s="248" t="str">
        <f t="shared" si="43"/>
        <v/>
      </c>
    </row>
    <row r="173" spans="1:75" x14ac:dyDescent="0.3">
      <c r="A173" s="169">
        <v>171</v>
      </c>
      <c r="B173" s="169">
        <v>171</v>
      </c>
      <c r="G173" s="169" t="str">
        <f t="shared" si="36"/>
        <v xml:space="preserve">  </v>
      </c>
      <c r="AI173" s="236">
        <f t="shared" si="37"/>
        <v>0</v>
      </c>
      <c r="AJ173" s="218"/>
      <c r="AO173" s="178">
        <f t="shared" si="46"/>
        <v>0</v>
      </c>
      <c r="AP173" s="178">
        <f t="shared" si="47"/>
        <v>0</v>
      </c>
      <c r="AQ173" s="237" t="str">
        <f t="shared" si="38"/>
        <v/>
      </c>
      <c r="BF173" s="241" t="str">
        <f t="shared" si="39"/>
        <v/>
      </c>
      <c r="BL173" s="241" t="str">
        <f t="shared" si="40"/>
        <v/>
      </c>
      <c r="BM173" s="241" t="str">
        <f t="shared" si="44"/>
        <v/>
      </c>
      <c r="BS173" s="247" t="str">
        <f t="shared" si="45"/>
        <v/>
      </c>
      <c r="BV173" s="242" t="str">
        <f t="shared" si="42"/>
        <v/>
      </c>
      <c r="BW173" s="248" t="str">
        <f t="shared" si="43"/>
        <v/>
      </c>
    </row>
    <row r="174" spans="1:75" x14ac:dyDescent="0.3">
      <c r="A174" s="169">
        <v>172</v>
      </c>
      <c r="B174" s="169">
        <v>172</v>
      </c>
      <c r="G174" s="169" t="str">
        <f t="shared" si="36"/>
        <v xml:space="preserve">  </v>
      </c>
      <c r="AI174" s="236">
        <f t="shared" si="37"/>
        <v>0</v>
      </c>
      <c r="AJ174" s="218"/>
      <c r="AO174" s="178">
        <f t="shared" si="46"/>
        <v>0</v>
      </c>
      <c r="AP174" s="178">
        <f t="shared" si="47"/>
        <v>0</v>
      </c>
      <c r="AQ174" s="237" t="str">
        <f t="shared" si="38"/>
        <v/>
      </c>
      <c r="BF174" s="241" t="str">
        <f t="shared" si="39"/>
        <v/>
      </c>
      <c r="BL174" s="241" t="str">
        <f t="shared" si="40"/>
        <v/>
      </c>
      <c r="BM174" s="241" t="str">
        <f t="shared" si="44"/>
        <v/>
      </c>
      <c r="BS174" s="247" t="str">
        <f t="shared" si="45"/>
        <v/>
      </c>
      <c r="BV174" s="242" t="str">
        <f t="shared" si="42"/>
        <v/>
      </c>
      <c r="BW174" s="248" t="str">
        <f t="shared" si="43"/>
        <v/>
      </c>
    </row>
    <row r="175" spans="1:75" x14ac:dyDescent="0.3">
      <c r="A175" s="169">
        <v>173</v>
      </c>
      <c r="B175" s="169">
        <v>173</v>
      </c>
      <c r="G175" s="169" t="str">
        <f t="shared" si="36"/>
        <v xml:space="preserve">  </v>
      </c>
      <c r="AI175" s="236">
        <f t="shared" si="37"/>
        <v>0</v>
      </c>
      <c r="AJ175" s="218"/>
      <c r="AO175" s="178">
        <f t="shared" si="46"/>
        <v>0</v>
      </c>
      <c r="AP175" s="178">
        <f t="shared" si="47"/>
        <v>0</v>
      </c>
      <c r="AQ175" s="237" t="str">
        <f t="shared" si="38"/>
        <v/>
      </c>
      <c r="BF175" s="241" t="str">
        <f t="shared" si="39"/>
        <v/>
      </c>
      <c r="BL175" s="241" t="str">
        <f t="shared" si="40"/>
        <v/>
      </c>
      <c r="BM175" s="241" t="str">
        <f t="shared" si="44"/>
        <v/>
      </c>
      <c r="BS175" s="247" t="str">
        <f t="shared" si="45"/>
        <v/>
      </c>
      <c r="BV175" s="242" t="str">
        <f t="shared" si="42"/>
        <v/>
      </c>
      <c r="BW175" s="248" t="str">
        <f t="shared" si="43"/>
        <v/>
      </c>
    </row>
    <row r="176" spans="1:75" x14ac:dyDescent="0.3">
      <c r="A176" s="169">
        <v>174</v>
      </c>
      <c r="B176" s="169">
        <v>174</v>
      </c>
      <c r="G176" s="169" t="str">
        <f t="shared" si="36"/>
        <v xml:space="preserve">  </v>
      </c>
      <c r="AI176" s="236">
        <f t="shared" si="37"/>
        <v>0</v>
      </c>
      <c r="AJ176" s="218"/>
      <c r="AO176" s="178">
        <f t="shared" si="46"/>
        <v>0</v>
      </c>
      <c r="AP176" s="178">
        <f t="shared" si="47"/>
        <v>0</v>
      </c>
      <c r="AQ176" s="237" t="str">
        <f t="shared" si="38"/>
        <v/>
      </c>
      <c r="BF176" s="241" t="str">
        <f t="shared" si="39"/>
        <v/>
      </c>
      <c r="BL176" s="241" t="str">
        <f t="shared" si="40"/>
        <v/>
      </c>
      <c r="BM176" s="241" t="str">
        <f t="shared" si="44"/>
        <v/>
      </c>
      <c r="BS176" s="247" t="str">
        <f t="shared" si="45"/>
        <v/>
      </c>
      <c r="BV176" s="242" t="str">
        <f t="shared" si="42"/>
        <v/>
      </c>
      <c r="BW176" s="248" t="str">
        <f t="shared" si="43"/>
        <v/>
      </c>
    </row>
    <row r="177" spans="1:134" x14ac:dyDescent="0.3">
      <c r="A177" s="169">
        <v>175</v>
      </c>
      <c r="B177" s="169">
        <v>175</v>
      </c>
      <c r="G177" s="169" t="str">
        <f t="shared" si="36"/>
        <v xml:space="preserve">  </v>
      </c>
      <c r="AI177" s="236">
        <f t="shared" si="37"/>
        <v>0</v>
      </c>
      <c r="AJ177" s="218"/>
      <c r="AO177" s="178">
        <f t="shared" si="46"/>
        <v>0</v>
      </c>
      <c r="AP177" s="178">
        <f t="shared" si="47"/>
        <v>0</v>
      </c>
      <c r="AQ177" s="237" t="str">
        <f t="shared" si="38"/>
        <v/>
      </c>
      <c r="BF177" s="241" t="str">
        <f t="shared" si="39"/>
        <v/>
      </c>
      <c r="BL177" s="241" t="str">
        <f t="shared" si="40"/>
        <v/>
      </c>
      <c r="BM177" s="241" t="str">
        <f t="shared" si="44"/>
        <v/>
      </c>
      <c r="BS177" s="247" t="str">
        <f t="shared" si="45"/>
        <v/>
      </c>
      <c r="BV177" s="242" t="str">
        <f t="shared" si="42"/>
        <v/>
      </c>
      <c r="BW177" s="248" t="str">
        <f t="shared" si="43"/>
        <v/>
      </c>
    </row>
    <row r="178" spans="1:134" x14ac:dyDescent="0.3">
      <c r="A178" s="169">
        <v>176</v>
      </c>
      <c r="B178" s="169">
        <v>176</v>
      </c>
      <c r="G178" s="169" t="str">
        <f t="shared" si="36"/>
        <v xml:space="preserve">  </v>
      </c>
      <c r="AI178" s="236">
        <f t="shared" si="37"/>
        <v>0</v>
      </c>
      <c r="AJ178" s="218"/>
      <c r="AO178" s="178">
        <f t="shared" si="46"/>
        <v>0</v>
      </c>
      <c r="AP178" s="178">
        <f t="shared" si="47"/>
        <v>0</v>
      </c>
      <c r="AQ178" s="237" t="str">
        <f t="shared" si="38"/>
        <v/>
      </c>
      <c r="BF178" s="241" t="str">
        <f t="shared" si="39"/>
        <v/>
      </c>
      <c r="BL178" s="241" t="str">
        <f t="shared" si="40"/>
        <v/>
      </c>
      <c r="BM178" s="241" t="str">
        <f t="shared" si="44"/>
        <v/>
      </c>
      <c r="BS178" s="247" t="str">
        <f t="shared" si="45"/>
        <v/>
      </c>
      <c r="BV178" s="242" t="str">
        <f t="shared" si="42"/>
        <v/>
      </c>
      <c r="BW178" s="248" t="str">
        <f t="shared" si="43"/>
        <v/>
      </c>
    </row>
    <row r="179" spans="1:134" x14ac:dyDescent="0.3">
      <c r="A179" s="169">
        <v>177</v>
      </c>
      <c r="B179" s="169">
        <v>177</v>
      </c>
      <c r="G179" s="169" t="str">
        <f t="shared" si="36"/>
        <v xml:space="preserve">  </v>
      </c>
      <c r="AI179" s="236">
        <f t="shared" si="37"/>
        <v>0</v>
      </c>
      <c r="AJ179" s="218"/>
      <c r="AO179" s="178">
        <f t="shared" si="46"/>
        <v>0</v>
      </c>
      <c r="AP179" s="178">
        <f t="shared" si="47"/>
        <v>0</v>
      </c>
      <c r="AQ179" s="237" t="str">
        <f t="shared" si="38"/>
        <v/>
      </c>
      <c r="BF179" s="241" t="str">
        <f t="shared" si="39"/>
        <v/>
      </c>
      <c r="BL179" s="241" t="str">
        <f t="shared" si="40"/>
        <v/>
      </c>
      <c r="BM179" s="241" t="str">
        <f t="shared" si="44"/>
        <v/>
      </c>
      <c r="BS179" s="247" t="str">
        <f t="shared" si="45"/>
        <v/>
      </c>
      <c r="BV179" s="242" t="str">
        <f t="shared" si="42"/>
        <v/>
      </c>
      <c r="BW179" s="248" t="str">
        <f t="shared" si="43"/>
        <v/>
      </c>
    </row>
    <row r="180" spans="1:134" x14ac:dyDescent="0.3">
      <c r="A180" s="169">
        <v>178</v>
      </c>
      <c r="B180" s="169">
        <v>178</v>
      </c>
      <c r="G180" s="169" t="str">
        <f t="shared" si="36"/>
        <v xml:space="preserve">  </v>
      </c>
      <c r="AI180" s="236">
        <f t="shared" si="37"/>
        <v>0</v>
      </c>
      <c r="AJ180" s="218"/>
      <c r="AO180" s="178">
        <f t="shared" si="46"/>
        <v>0</v>
      </c>
      <c r="AP180" s="178">
        <f t="shared" si="47"/>
        <v>0</v>
      </c>
      <c r="AQ180" s="237" t="str">
        <f t="shared" si="38"/>
        <v/>
      </c>
      <c r="BF180" s="241" t="str">
        <f t="shared" si="39"/>
        <v/>
      </c>
      <c r="BL180" s="241" t="str">
        <f t="shared" si="40"/>
        <v/>
      </c>
      <c r="BM180" s="241" t="str">
        <f t="shared" si="44"/>
        <v/>
      </c>
      <c r="BS180" s="247" t="str">
        <f t="shared" si="45"/>
        <v/>
      </c>
      <c r="BV180" s="242" t="str">
        <f t="shared" si="42"/>
        <v/>
      </c>
      <c r="BW180" s="248" t="str">
        <f t="shared" si="43"/>
        <v/>
      </c>
    </row>
    <row r="181" spans="1:134" x14ac:dyDescent="0.3">
      <c r="A181" s="169">
        <v>179</v>
      </c>
      <c r="B181" s="169">
        <v>179</v>
      </c>
      <c r="G181" s="169" t="str">
        <f t="shared" si="36"/>
        <v xml:space="preserve">  </v>
      </c>
      <c r="AI181" s="236">
        <f t="shared" si="37"/>
        <v>0</v>
      </c>
      <c r="AJ181" s="218"/>
      <c r="AO181" s="178">
        <f t="shared" si="46"/>
        <v>0</v>
      </c>
      <c r="AP181" s="178">
        <f t="shared" si="47"/>
        <v>0</v>
      </c>
      <c r="AQ181" s="237" t="str">
        <f t="shared" si="38"/>
        <v/>
      </c>
      <c r="BF181" s="241" t="str">
        <f t="shared" si="39"/>
        <v/>
      </c>
      <c r="BL181" s="241" t="str">
        <f t="shared" si="40"/>
        <v/>
      </c>
      <c r="BM181" s="241" t="str">
        <f t="shared" si="44"/>
        <v/>
      </c>
      <c r="BS181" s="247" t="str">
        <f t="shared" si="45"/>
        <v/>
      </c>
      <c r="BV181" s="242" t="str">
        <f t="shared" si="42"/>
        <v/>
      </c>
      <c r="BW181" s="248" t="str">
        <f t="shared" si="43"/>
        <v/>
      </c>
    </row>
    <row r="182" spans="1:134" x14ac:dyDescent="0.3">
      <c r="A182" s="169">
        <v>180</v>
      </c>
      <c r="B182" s="169">
        <v>180</v>
      </c>
      <c r="G182" s="169" t="str">
        <f t="shared" si="36"/>
        <v xml:space="preserve">  </v>
      </c>
      <c r="AI182" s="236">
        <f t="shared" si="37"/>
        <v>0</v>
      </c>
      <c r="AJ182" s="218"/>
      <c r="AO182" s="178">
        <f t="shared" si="46"/>
        <v>0</v>
      </c>
      <c r="AP182" s="178">
        <f t="shared" si="47"/>
        <v>0</v>
      </c>
      <c r="AQ182" s="237" t="str">
        <f t="shared" si="38"/>
        <v/>
      </c>
      <c r="BF182" s="241" t="str">
        <f t="shared" si="39"/>
        <v/>
      </c>
      <c r="BL182" s="241" t="str">
        <f t="shared" si="40"/>
        <v/>
      </c>
      <c r="BM182" s="241" t="str">
        <f t="shared" si="44"/>
        <v/>
      </c>
      <c r="BS182" s="247" t="str">
        <f t="shared" si="45"/>
        <v/>
      </c>
      <c r="BV182" s="242" t="str">
        <f t="shared" si="42"/>
        <v/>
      </c>
      <c r="BW182" s="248" t="str">
        <f t="shared" si="43"/>
        <v/>
      </c>
    </row>
    <row r="183" spans="1:134" x14ac:dyDescent="0.3">
      <c r="A183" s="169">
        <v>181</v>
      </c>
      <c r="B183" s="169">
        <v>181</v>
      </c>
      <c r="G183" s="169" t="str">
        <f t="shared" si="36"/>
        <v xml:space="preserve">  </v>
      </c>
      <c r="AI183" s="236">
        <f t="shared" si="37"/>
        <v>0</v>
      </c>
      <c r="AJ183" s="218"/>
      <c r="AO183" s="178">
        <f t="shared" si="46"/>
        <v>0</v>
      </c>
      <c r="AP183" s="178">
        <f t="shared" si="47"/>
        <v>0</v>
      </c>
      <c r="AQ183" s="237" t="str">
        <f t="shared" si="38"/>
        <v/>
      </c>
      <c r="BF183" s="241" t="str">
        <f t="shared" si="39"/>
        <v/>
      </c>
      <c r="BL183" s="241" t="str">
        <f t="shared" si="40"/>
        <v/>
      </c>
      <c r="BM183" s="241" t="str">
        <f t="shared" si="44"/>
        <v/>
      </c>
      <c r="BS183" s="247" t="str">
        <f t="shared" si="45"/>
        <v/>
      </c>
      <c r="BV183" s="242" t="str">
        <f t="shared" si="42"/>
        <v/>
      </c>
      <c r="BW183" s="248" t="str">
        <f t="shared" si="43"/>
        <v/>
      </c>
    </row>
    <row r="184" spans="1:134" x14ac:dyDescent="0.3">
      <c r="A184" s="169">
        <v>182</v>
      </c>
      <c r="B184" s="169">
        <v>182</v>
      </c>
      <c r="G184" s="169" t="str">
        <f t="shared" si="36"/>
        <v xml:space="preserve">  </v>
      </c>
      <c r="AI184" s="236">
        <f t="shared" si="37"/>
        <v>0</v>
      </c>
      <c r="AJ184" s="218"/>
      <c r="AO184" s="178">
        <f t="shared" si="46"/>
        <v>0</v>
      </c>
      <c r="AP184" s="178">
        <f t="shared" si="47"/>
        <v>0</v>
      </c>
      <c r="AQ184" s="237" t="str">
        <f t="shared" si="38"/>
        <v/>
      </c>
      <c r="BF184" s="241" t="str">
        <f t="shared" si="39"/>
        <v/>
      </c>
      <c r="BL184" s="241" t="str">
        <f t="shared" si="40"/>
        <v/>
      </c>
      <c r="BM184" s="241" t="str">
        <f t="shared" si="44"/>
        <v/>
      </c>
      <c r="BS184" s="247" t="str">
        <f t="shared" si="45"/>
        <v/>
      </c>
      <c r="BV184" s="242" t="str">
        <f t="shared" si="42"/>
        <v/>
      </c>
      <c r="BW184" s="248" t="str">
        <f t="shared" si="43"/>
        <v/>
      </c>
    </row>
    <row r="185" spans="1:134" x14ac:dyDescent="0.3">
      <c r="A185" s="169">
        <v>183</v>
      </c>
      <c r="B185" s="169">
        <v>183</v>
      </c>
      <c r="G185" s="169" t="str">
        <f t="shared" si="36"/>
        <v xml:space="preserve">  </v>
      </c>
      <c r="AI185" s="236">
        <f t="shared" si="37"/>
        <v>0</v>
      </c>
      <c r="AJ185" s="218"/>
      <c r="AO185" s="178">
        <f t="shared" si="46"/>
        <v>0</v>
      </c>
      <c r="AP185" s="178">
        <f t="shared" si="47"/>
        <v>0</v>
      </c>
      <c r="AQ185" s="237" t="str">
        <f t="shared" si="38"/>
        <v/>
      </c>
      <c r="BF185" s="241" t="str">
        <f t="shared" si="39"/>
        <v/>
      </c>
      <c r="BL185" s="241" t="str">
        <f t="shared" si="40"/>
        <v/>
      </c>
      <c r="BM185" s="241" t="str">
        <f t="shared" si="44"/>
        <v/>
      </c>
      <c r="BS185" s="247" t="str">
        <f t="shared" si="45"/>
        <v/>
      </c>
      <c r="BV185" s="242" t="str">
        <f t="shared" si="42"/>
        <v/>
      </c>
      <c r="BW185" s="248" t="str">
        <f t="shared" si="43"/>
        <v/>
      </c>
    </row>
    <row r="186" spans="1:134" x14ac:dyDescent="0.3">
      <c r="A186" s="169">
        <v>184</v>
      </c>
      <c r="B186" s="169">
        <v>184</v>
      </c>
      <c r="G186" s="169" t="str">
        <f t="shared" si="36"/>
        <v xml:space="preserve">  </v>
      </c>
      <c r="AI186" s="236">
        <f t="shared" si="37"/>
        <v>0</v>
      </c>
      <c r="AJ186" s="218"/>
      <c r="AO186" s="178">
        <f t="shared" si="46"/>
        <v>0</v>
      </c>
      <c r="AP186" s="178">
        <f t="shared" si="47"/>
        <v>0</v>
      </c>
      <c r="AQ186" s="237" t="str">
        <f t="shared" si="38"/>
        <v/>
      </c>
      <c r="BF186" s="241" t="str">
        <f t="shared" si="39"/>
        <v/>
      </c>
      <c r="BL186" s="241" t="str">
        <f t="shared" si="40"/>
        <v/>
      </c>
      <c r="BM186" s="241" t="str">
        <f t="shared" si="44"/>
        <v/>
      </c>
      <c r="BS186" s="247" t="str">
        <f t="shared" si="45"/>
        <v/>
      </c>
      <c r="BV186" s="242" t="str">
        <f t="shared" si="42"/>
        <v/>
      </c>
      <c r="BW186" s="248" t="str">
        <f t="shared" si="43"/>
        <v/>
      </c>
    </row>
    <row r="187" spans="1:134" x14ac:dyDescent="0.3">
      <c r="A187" s="169">
        <v>185</v>
      </c>
      <c r="B187" s="169">
        <v>185</v>
      </c>
      <c r="G187" s="169" t="str">
        <f t="shared" si="36"/>
        <v xml:space="preserve">  </v>
      </c>
      <c r="AI187" s="236">
        <f t="shared" si="37"/>
        <v>0</v>
      </c>
      <c r="AJ187" s="218"/>
      <c r="AO187" s="178">
        <f t="shared" si="46"/>
        <v>0</v>
      </c>
      <c r="AP187" s="178">
        <f t="shared" si="47"/>
        <v>0</v>
      </c>
      <c r="AQ187" s="237" t="str">
        <f t="shared" si="38"/>
        <v/>
      </c>
      <c r="BF187" s="241" t="str">
        <f t="shared" si="39"/>
        <v/>
      </c>
      <c r="BL187" s="241" t="str">
        <f t="shared" si="40"/>
        <v/>
      </c>
      <c r="BM187" s="241" t="str">
        <f t="shared" si="44"/>
        <v/>
      </c>
      <c r="BS187" s="247" t="str">
        <f t="shared" si="45"/>
        <v/>
      </c>
      <c r="BV187" s="242" t="str">
        <f t="shared" si="42"/>
        <v/>
      </c>
      <c r="BW187" s="248" t="str">
        <f t="shared" si="43"/>
        <v/>
      </c>
    </row>
    <row r="188" spans="1:134" x14ac:dyDescent="0.3">
      <c r="A188" s="169">
        <v>186</v>
      </c>
      <c r="B188" s="169">
        <v>186</v>
      </c>
      <c r="G188" s="169" t="str">
        <f t="shared" si="36"/>
        <v xml:space="preserve">  </v>
      </c>
      <c r="AI188" s="236">
        <f t="shared" si="37"/>
        <v>0</v>
      </c>
      <c r="AJ188" s="218"/>
      <c r="AO188" s="178">
        <f t="shared" si="46"/>
        <v>0</v>
      </c>
      <c r="AP188" s="178">
        <f t="shared" si="47"/>
        <v>0</v>
      </c>
      <c r="AQ188" s="237" t="str">
        <f t="shared" si="38"/>
        <v/>
      </c>
      <c r="BF188" s="241" t="str">
        <f t="shared" si="39"/>
        <v/>
      </c>
      <c r="BL188" s="241" t="str">
        <f t="shared" si="40"/>
        <v/>
      </c>
      <c r="BM188" s="241" t="str">
        <f t="shared" si="44"/>
        <v/>
      </c>
      <c r="BS188" s="247" t="str">
        <f t="shared" si="45"/>
        <v/>
      </c>
      <c r="BV188" s="242" t="str">
        <f t="shared" si="42"/>
        <v/>
      </c>
      <c r="BW188" s="248" t="str">
        <f t="shared" si="43"/>
        <v/>
      </c>
    </row>
    <row r="189" spans="1:134" x14ac:dyDescent="0.3">
      <c r="A189" s="169">
        <v>187</v>
      </c>
      <c r="B189" s="169">
        <v>187</v>
      </c>
      <c r="G189" s="169" t="str">
        <f t="shared" si="36"/>
        <v xml:space="preserve">  </v>
      </c>
      <c r="AI189" s="236">
        <f t="shared" si="37"/>
        <v>0</v>
      </c>
      <c r="AJ189" s="218"/>
      <c r="AO189" s="178">
        <f t="shared" si="46"/>
        <v>0</v>
      </c>
      <c r="AP189" s="178">
        <f t="shared" si="47"/>
        <v>0</v>
      </c>
      <c r="AQ189" s="237" t="str">
        <f t="shared" si="38"/>
        <v/>
      </c>
      <c r="BF189" s="241" t="str">
        <f t="shared" si="39"/>
        <v/>
      </c>
      <c r="BL189" s="241" t="str">
        <f t="shared" si="40"/>
        <v/>
      </c>
      <c r="BM189" s="241" t="str">
        <f t="shared" si="44"/>
        <v/>
      </c>
      <c r="BS189" s="247" t="str">
        <f t="shared" si="45"/>
        <v/>
      </c>
      <c r="BV189" s="242" t="str">
        <f t="shared" si="42"/>
        <v/>
      </c>
      <c r="BW189" s="248" t="str">
        <f t="shared" si="43"/>
        <v/>
      </c>
    </row>
    <row r="190" spans="1:134" x14ac:dyDescent="0.3">
      <c r="A190" s="169">
        <v>188</v>
      </c>
      <c r="B190" s="169">
        <v>188</v>
      </c>
      <c r="G190" s="169" t="str">
        <f t="shared" si="36"/>
        <v xml:space="preserve">  </v>
      </c>
      <c r="AI190" s="236">
        <f t="shared" si="37"/>
        <v>0</v>
      </c>
      <c r="AJ190" s="218"/>
      <c r="AO190" s="178">
        <f t="shared" si="46"/>
        <v>0</v>
      </c>
      <c r="AP190" s="178">
        <f t="shared" si="47"/>
        <v>0</v>
      </c>
      <c r="AQ190" s="237" t="str">
        <f t="shared" si="38"/>
        <v/>
      </c>
      <c r="BF190" s="241" t="str">
        <f t="shared" si="39"/>
        <v/>
      </c>
      <c r="BL190" s="241" t="str">
        <f t="shared" si="40"/>
        <v/>
      </c>
      <c r="BM190" s="241" t="str">
        <f t="shared" si="44"/>
        <v/>
      </c>
      <c r="BS190" s="247" t="str">
        <f t="shared" si="45"/>
        <v/>
      </c>
      <c r="BV190" s="242" t="str">
        <f t="shared" si="42"/>
        <v/>
      </c>
      <c r="BW190" s="248" t="str">
        <f t="shared" si="43"/>
        <v/>
      </c>
    </row>
    <row r="191" spans="1:134" x14ac:dyDescent="0.3">
      <c r="A191" s="169">
        <v>189</v>
      </c>
      <c r="B191" s="169">
        <v>189</v>
      </c>
      <c r="G191" s="169" t="str">
        <f t="shared" si="36"/>
        <v xml:space="preserve">  </v>
      </c>
      <c r="AI191" s="236">
        <f t="shared" si="37"/>
        <v>0</v>
      </c>
      <c r="AJ191" s="218"/>
      <c r="AO191" s="178">
        <f t="shared" si="46"/>
        <v>0</v>
      </c>
      <c r="AP191" s="178">
        <f t="shared" si="47"/>
        <v>0</v>
      </c>
      <c r="AQ191" s="237" t="str">
        <f t="shared" si="38"/>
        <v/>
      </c>
      <c r="BF191" s="241" t="str">
        <f t="shared" si="39"/>
        <v/>
      </c>
      <c r="BL191" s="241" t="str">
        <f t="shared" si="40"/>
        <v/>
      </c>
      <c r="BM191" s="241" t="str">
        <f t="shared" si="44"/>
        <v/>
      </c>
      <c r="BS191" s="247" t="str">
        <f t="shared" si="45"/>
        <v/>
      </c>
      <c r="BV191" s="242" t="str">
        <f t="shared" si="42"/>
        <v/>
      </c>
      <c r="BW191" s="248" t="str">
        <f t="shared" si="43"/>
        <v/>
      </c>
    </row>
    <row r="192" spans="1:134" x14ac:dyDescent="0.3">
      <c r="A192" s="169">
        <v>190</v>
      </c>
      <c r="G192" s="169" t="str">
        <f t="shared" si="36"/>
        <v xml:space="preserve">  </v>
      </c>
      <c r="AI192" s="236">
        <f t="shared" si="37"/>
        <v>0</v>
      </c>
      <c r="AJ192" s="218"/>
      <c r="AO192" s="178">
        <f t="shared" si="46"/>
        <v>0</v>
      </c>
      <c r="AP192" s="178">
        <f t="shared" si="47"/>
        <v>0</v>
      </c>
      <c r="AQ192" s="237" t="str">
        <f t="shared" si="38"/>
        <v/>
      </c>
      <c r="BF192" s="241" t="str">
        <f t="shared" si="39"/>
        <v/>
      </c>
      <c r="BL192" s="241" t="str">
        <f t="shared" si="40"/>
        <v/>
      </c>
      <c r="BM192" s="241" t="str">
        <f t="shared" si="44"/>
        <v/>
      </c>
      <c r="BS192" s="247" t="str">
        <f t="shared" si="45"/>
        <v/>
      </c>
      <c r="BV192" s="242" t="str">
        <f t="shared" si="42"/>
        <v/>
      </c>
      <c r="BW192" s="248" t="str">
        <f t="shared" si="43"/>
        <v/>
      </c>
      <c r="ED192" s="5" t="s">
        <v>458</v>
      </c>
    </row>
    <row r="193" spans="1:134" x14ac:dyDescent="0.3">
      <c r="A193" s="169">
        <v>191</v>
      </c>
      <c r="G193" s="169" t="str">
        <f t="shared" si="36"/>
        <v xml:space="preserve">  </v>
      </c>
      <c r="AI193" s="236">
        <f t="shared" si="37"/>
        <v>0</v>
      </c>
      <c r="AJ193" s="218"/>
      <c r="AO193" s="178">
        <f t="shared" si="46"/>
        <v>0</v>
      </c>
      <c r="AP193" s="178">
        <f t="shared" si="47"/>
        <v>0</v>
      </c>
      <c r="AQ193" s="237" t="str">
        <f t="shared" si="38"/>
        <v/>
      </c>
      <c r="BF193" s="241" t="str">
        <f t="shared" si="39"/>
        <v/>
      </c>
      <c r="BL193" s="241" t="str">
        <f t="shared" si="40"/>
        <v/>
      </c>
      <c r="BM193" s="241" t="str">
        <f t="shared" si="44"/>
        <v/>
      </c>
      <c r="BS193" s="247" t="str">
        <f t="shared" si="45"/>
        <v/>
      </c>
      <c r="BV193" s="242" t="str">
        <f t="shared" si="42"/>
        <v/>
      </c>
      <c r="BW193" s="248" t="str">
        <f t="shared" si="43"/>
        <v/>
      </c>
      <c r="ED193" s="5" t="s">
        <v>459</v>
      </c>
    </row>
    <row r="194" spans="1:134" x14ac:dyDescent="0.3">
      <c r="A194" s="169">
        <v>192</v>
      </c>
      <c r="G194" s="169" t="str">
        <f t="shared" si="36"/>
        <v xml:space="preserve">  </v>
      </c>
      <c r="AI194" s="236">
        <f t="shared" si="37"/>
        <v>0</v>
      </c>
      <c r="AJ194" s="218"/>
      <c r="AO194" s="178">
        <f t="shared" si="46"/>
        <v>0</v>
      </c>
      <c r="AP194" s="178">
        <f t="shared" si="47"/>
        <v>0</v>
      </c>
      <c r="AQ194" s="237" t="str">
        <f t="shared" si="38"/>
        <v/>
      </c>
      <c r="BF194" s="241" t="str">
        <f t="shared" si="39"/>
        <v/>
      </c>
      <c r="BL194" s="241" t="str">
        <f t="shared" si="40"/>
        <v/>
      </c>
      <c r="BM194" s="241" t="str">
        <f t="shared" si="44"/>
        <v/>
      </c>
      <c r="BS194" s="247" t="str">
        <f t="shared" si="45"/>
        <v/>
      </c>
      <c r="BV194" s="242" t="str">
        <f t="shared" si="42"/>
        <v/>
      </c>
      <c r="BW194" s="248" t="str">
        <f t="shared" si="43"/>
        <v/>
      </c>
      <c r="ED194" s="5" t="s">
        <v>460</v>
      </c>
    </row>
    <row r="195" spans="1:134" x14ac:dyDescent="0.3">
      <c r="A195" s="169">
        <v>193</v>
      </c>
      <c r="G195" s="169" t="str">
        <f t="shared" ref="G195:G258" si="48">CONCATENATE(D195," ",E195," ",F195)</f>
        <v xml:space="preserve">  </v>
      </c>
      <c r="AI195" s="236">
        <f t="shared" si="37"/>
        <v>0</v>
      </c>
      <c r="AJ195" s="218"/>
      <c r="AO195" s="178">
        <f t="shared" si="46"/>
        <v>0</v>
      </c>
      <c r="AP195" s="178">
        <f t="shared" si="47"/>
        <v>0</v>
      </c>
      <c r="AQ195" s="237" t="str">
        <f t="shared" si="38"/>
        <v/>
      </c>
      <c r="BF195" s="241" t="str">
        <f t="shared" si="39"/>
        <v/>
      </c>
      <c r="BL195" s="241" t="str">
        <f t="shared" si="40"/>
        <v/>
      </c>
      <c r="BM195" s="241" t="str">
        <f t="shared" si="44"/>
        <v/>
      </c>
      <c r="BS195" s="247" t="str">
        <f t="shared" si="45"/>
        <v/>
      </c>
      <c r="BV195" s="242" t="str">
        <f t="shared" si="42"/>
        <v/>
      </c>
      <c r="BW195" s="248" t="str">
        <f t="shared" si="43"/>
        <v/>
      </c>
      <c r="ED195" s="5" t="s">
        <v>461</v>
      </c>
    </row>
    <row r="196" spans="1:134" x14ac:dyDescent="0.3">
      <c r="A196" s="169">
        <v>194</v>
      </c>
      <c r="G196" s="169" t="str">
        <f t="shared" si="48"/>
        <v xml:space="preserve">  </v>
      </c>
      <c r="AI196" s="236">
        <f t="shared" ref="AI196:AI259" si="49">SUM(AA196:AH196)</f>
        <v>0</v>
      </c>
      <c r="AJ196" s="218"/>
      <c r="AO196" s="178">
        <f t="shared" si="46"/>
        <v>0</v>
      </c>
      <c r="AP196" s="178">
        <f t="shared" si="47"/>
        <v>0</v>
      </c>
      <c r="AQ196" s="237" t="str">
        <f t="shared" ref="AQ196:AQ259" si="50">IF(AN196="","",AP196/2)</f>
        <v/>
      </c>
      <c r="BF196" s="241" t="str">
        <f t="shared" ref="BF196:BF259" si="51">IF(BE196="","",BE196/2.14)</f>
        <v/>
      </c>
      <c r="BL196" s="241" t="str">
        <f t="shared" ref="BL196:BL259" si="52">IF(BK196="","",IF(AND(BJ196&gt;400,BK196&gt;1),"No Procede",IF(BK196&lt;1,"",BI196-BK196-(BJ196/5))))</f>
        <v/>
      </c>
      <c r="BM196" s="241" t="str">
        <f t="shared" ref="BM196:BM259" si="53">IF(BK196="","",IF(AND(BJ196&gt;400,BK196&gt;1),"NO PROCEDE",IF(BK196="","",BJ196/5)))</f>
        <v/>
      </c>
      <c r="BS196" s="247" t="str">
        <f t="shared" si="45"/>
        <v/>
      </c>
      <c r="BV196" s="242" t="str">
        <f t="shared" ref="BV196:BV259" si="54">IF(OR(BT196="",BU196=""),"",ROUND(BT196-BU196,1))</f>
        <v/>
      </c>
      <c r="BW196" s="248" t="str">
        <f t="shared" ref="BW196:BW259" si="55">IF(OR(BT196="",BU196=""),"",ROUND(BU196/BV196,1))</f>
        <v/>
      </c>
      <c r="ED196" s="5" t="s">
        <v>462</v>
      </c>
    </row>
    <row r="197" spans="1:134" x14ac:dyDescent="0.3">
      <c r="A197" s="169">
        <v>195</v>
      </c>
      <c r="G197" s="169" t="str">
        <f t="shared" si="48"/>
        <v xml:space="preserve">  </v>
      </c>
      <c r="AI197" s="236">
        <f t="shared" si="49"/>
        <v>0</v>
      </c>
      <c r="AJ197" s="218"/>
      <c r="AO197" s="178">
        <f t="shared" si="46"/>
        <v>0</v>
      </c>
      <c r="AP197" s="178">
        <f t="shared" si="47"/>
        <v>0</v>
      </c>
      <c r="AQ197" s="237" t="str">
        <f t="shared" si="50"/>
        <v/>
      </c>
      <c r="BF197" s="241" t="str">
        <f t="shared" si="51"/>
        <v/>
      </c>
      <c r="BL197" s="241" t="str">
        <f t="shared" si="52"/>
        <v/>
      </c>
      <c r="BM197" s="241" t="str">
        <f t="shared" si="53"/>
        <v/>
      </c>
      <c r="BS197" s="247" t="str">
        <f t="shared" ref="BS197:BS260" si="56">IF(BQ197="","",SUM(BQ197:BR197))</f>
        <v/>
      </c>
      <c r="BV197" s="242" t="str">
        <f t="shared" si="54"/>
        <v/>
      </c>
      <c r="BW197" s="248" t="str">
        <f t="shared" si="55"/>
        <v/>
      </c>
    </row>
    <row r="198" spans="1:134" x14ac:dyDescent="0.3">
      <c r="A198" s="169">
        <v>196</v>
      </c>
      <c r="G198" s="169" t="str">
        <f t="shared" si="48"/>
        <v xml:space="preserve">  </v>
      </c>
      <c r="AI198" s="236">
        <f t="shared" si="49"/>
        <v>0</v>
      </c>
      <c r="AJ198" s="218"/>
      <c r="AO198" s="178">
        <f t="shared" si="46"/>
        <v>0</v>
      </c>
      <c r="AP198" s="178">
        <f t="shared" si="47"/>
        <v>0</v>
      </c>
      <c r="AQ198" s="237" t="str">
        <f t="shared" si="50"/>
        <v/>
      </c>
      <c r="BF198" s="241" t="str">
        <f t="shared" si="51"/>
        <v/>
      </c>
      <c r="BL198" s="241" t="str">
        <f t="shared" si="52"/>
        <v/>
      </c>
      <c r="BM198" s="241" t="str">
        <f t="shared" si="53"/>
        <v/>
      </c>
      <c r="BS198" s="247" t="str">
        <f t="shared" si="56"/>
        <v/>
      </c>
      <c r="BV198" s="242" t="str">
        <f t="shared" si="54"/>
        <v/>
      </c>
      <c r="BW198" s="248" t="str">
        <f t="shared" si="55"/>
        <v/>
      </c>
    </row>
    <row r="199" spans="1:134" x14ac:dyDescent="0.3">
      <c r="A199" s="169">
        <v>197</v>
      </c>
      <c r="G199" s="169" t="str">
        <f t="shared" si="48"/>
        <v xml:space="preserve">  </v>
      </c>
      <c r="AI199" s="236">
        <f t="shared" si="49"/>
        <v>0</v>
      </c>
      <c r="AJ199" s="218"/>
      <c r="AO199" s="178">
        <f t="shared" si="46"/>
        <v>0</v>
      </c>
      <c r="AP199" s="178">
        <f t="shared" si="47"/>
        <v>0</v>
      </c>
      <c r="AQ199" s="237" t="str">
        <f t="shared" si="50"/>
        <v/>
      </c>
      <c r="BF199" s="241" t="str">
        <f t="shared" si="51"/>
        <v/>
      </c>
      <c r="BL199" s="241" t="str">
        <f t="shared" si="52"/>
        <v/>
      </c>
      <c r="BM199" s="241" t="str">
        <f t="shared" si="53"/>
        <v/>
      </c>
      <c r="BS199" s="247" t="str">
        <f t="shared" si="56"/>
        <v/>
      </c>
      <c r="BV199" s="242" t="str">
        <f t="shared" si="54"/>
        <v/>
      </c>
      <c r="BW199" s="248" t="str">
        <f t="shared" si="55"/>
        <v/>
      </c>
    </row>
    <row r="200" spans="1:134" x14ac:dyDescent="0.3">
      <c r="A200" s="169">
        <v>198</v>
      </c>
      <c r="G200" s="169" t="str">
        <f t="shared" si="48"/>
        <v xml:space="preserve">  </v>
      </c>
      <c r="AI200" s="236">
        <f t="shared" si="49"/>
        <v>0</v>
      </c>
      <c r="AJ200" s="218"/>
      <c r="AO200" s="178">
        <f t="shared" si="46"/>
        <v>0</v>
      </c>
      <c r="AP200" s="178">
        <f t="shared" si="47"/>
        <v>0</v>
      </c>
      <c r="AQ200" s="237" t="str">
        <f t="shared" si="50"/>
        <v/>
      </c>
      <c r="BF200" s="241" t="str">
        <f t="shared" si="51"/>
        <v/>
      </c>
      <c r="BL200" s="241" t="str">
        <f t="shared" si="52"/>
        <v/>
      </c>
      <c r="BM200" s="241" t="str">
        <f t="shared" si="53"/>
        <v/>
      </c>
      <c r="BS200" s="247" t="str">
        <f t="shared" si="56"/>
        <v/>
      </c>
      <c r="BV200" s="242" t="str">
        <f t="shared" si="54"/>
        <v/>
      </c>
      <c r="BW200" s="248" t="str">
        <f t="shared" si="55"/>
        <v/>
      </c>
    </row>
    <row r="201" spans="1:134" x14ac:dyDescent="0.3">
      <c r="A201" s="169">
        <v>199</v>
      </c>
      <c r="G201" s="169" t="str">
        <f t="shared" si="48"/>
        <v xml:space="preserve">  </v>
      </c>
      <c r="AI201" s="236">
        <f t="shared" si="49"/>
        <v>0</v>
      </c>
      <c r="AJ201" s="218"/>
      <c r="AO201" s="178">
        <f t="shared" si="46"/>
        <v>0</v>
      </c>
      <c r="AP201" s="178">
        <f t="shared" si="47"/>
        <v>0</v>
      </c>
      <c r="AQ201" s="237" t="str">
        <f t="shared" si="50"/>
        <v/>
      </c>
      <c r="BF201" s="241" t="str">
        <f t="shared" si="51"/>
        <v/>
      </c>
      <c r="BL201" s="241" t="str">
        <f t="shared" si="52"/>
        <v/>
      </c>
      <c r="BM201" s="241" t="str">
        <f t="shared" si="53"/>
        <v/>
      </c>
      <c r="BS201" s="247" t="str">
        <f t="shared" si="56"/>
        <v/>
      </c>
      <c r="BV201" s="242" t="str">
        <f t="shared" si="54"/>
        <v/>
      </c>
      <c r="BW201" s="248" t="str">
        <f t="shared" si="55"/>
        <v/>
      </c>
    </row>
    <row r="202" spans="1:134" x14ac:dyDescent="0.3">
      <c r="A202" s="169">
        <v>200</v>
      </c>
      <c r="G202" s="169" t="str">
        <f t="shared" si="48"/>
        <v xml:space="preserve">  </v>
      </c>
      <c r="AI202" s="236">
        <f t="shared" si="49"/>
        <v>0</v>
      </c>
      <c r="AJ202" s="218"/>
      <c r="AO202" s="178">
        <f t="shared" si="46"/>
        <v>0</v>
      </c>
      <c r="AP202" s="178">
        <f t="shared" si="47"/>
        <v>0</v>
      </c>
      <c r="AQ202" s="237" t="str">
        <f t="shared" si="50"/>
        <v/>
      </c>
      <c r="BF202" s="241" t="str">
        <f t="shared" si="51"/>
        <v/>
      </c>
      <c r="BL202" s="241" t="str">
        <f t="shared" si="52"/>
        <v/>
      </c>
      <c r="BM202" s="241" t="str">
        <f t="shared" si="53"/>
        <v/>
      </c>
      <c r="BS202" s="247" t="str">
        <f t="shared" si="56"/>
        <v/>
      </c>
      <c r="BV202" s="242" t="str">
        <f t="shared" si="54"/>
        <v/>
      </c>
      <c r="BW202" s="248" t="str">
        <f t="shared" si="55"/>
        <v/>
      </c>
    </row>
    <row r="203" spans="1:134" x14ac:dyDescent="0.3">
      <c r="A203" s="169">
        <v>201</v>
      </c>
      <c r="G203" s="169" t="str">
        <f t="shared" si="48"/>
        <v xml:space="preserve">  </v>
      </c>
      <c r="AI203" s="236">
        <f t="shared" si="49"/>
        <v>0</v>
      </c>
      <c r="AJ203" s="218"/>
      <c r="AO203" s="178">
        <f t="shared" si="46"/>
        <v>0</v>
      </c>
      <c r="AP203" s="178">
        <f t="shared" si="47"/>
        <v>0</v>
      </c>
      <c r="AQ203" s="237" t="str">
        <f t="shared" si="50"/>
        <v/>
      </c>
      <c r="BF203" s="241" t="str">
        <f t="shared" si="51"/>
        <v/>
      </c>
      <c r="BL203" s="241" t="str">
        <f t="shared" si="52"/>
        <v/>
      </c>
      <c r="BM203" s="241" t="str">
        <f t="shared" si="53"/>
        <v/>
      </c>
      <c r="BS203" s="247" t="str">
        <f t="shared" si="56"/>
        <v/>
      </c>
      <c r="BV203" s="242" t="str">
        <f t="shared" si="54"/>
        <v/>
      </c>
      <c r="BW203" s="248" t="str">
        <f t="shared" si="55"/>
        <v/>
      </c>
    </row>
    <row r="204" spans="1:134" x14ac:dyDescent="0.3">
      <c r="A204" s="169">
        <v>202</v>
      </c>
      <c r="G204" s="169" t="str">
        <f t="shared" si="48"/>
        <v xml:space="preserve">  </v>
      </c>
      <c r="AI204" s="236">
        <f t="shared" si="49"/>
        <v>0</v>
      </c>
      <c r="AJ204" s="218"/>
      <c r="AO204" s="178">
        <f t="shared" si="46"/>
        <v>0</v>
      </c>
      <c r="AP204" s="178">
        <f t="shared" si="47"/>
        <v>0</v>
      </c>
      <c r="AQ204" s="237" t="str">
        <f t="shared" si="50"/>
        <v/>
      </c>
      <c r="BF204" s="241" t="str">
        <f t="shared" si="51"/>
        <v/>
      </c>
      <c r="BL204" s="241" t="str">
        <f t="shared" si="52"/>
        <v/>
      </c>
      <c r="BM204" s="241" t="str">
        <f t="shared" si="53"/>
        <v/>
      </c>
      <c r="BS204" s="247" t="str">
        <f t="shared" si="56"/>
        <v/>
      </c>
      <c r="BV204" s="242" t="str">
        <f t="shared" si="54"/>
        <v/>
      </c>
      <c r="BW204" s="248" t="str">
        <f t="shared" si="55"/>
        <v/>
      </c>
    </row>
    <row r="205" spans="1:134" x14ac:dyDescent="0.3">
      <c r="A205" s="169">
        <v>203</v>
      </c>
      <c r="G205" s="169" t="str">
        <f t="shared" si="48"/>
        <v xml:space="preserve">  </v>
      </c>
      <c r="AI205" s="236">
        <f t="shared" si="49"/>
        <v>0</v>
      </c>
      <c r="AJ205" s="218"/>
      <c r="AO205" s="178">
        <f t="shared" si="46"/>
        <v>0</v>
      </c>
      <c r="AP205" s="178">
        <f t="shared" si="47"/>
        <v>0</v>
      </c>
      <c r="AQ205" s="237" t="str">
        <f t="shared" si="50"/>
        <v/>
      </c>
      <c r="BF205" s="241" t="str">
        <f t="shared" si="51"/>
        <v/>
      </c>
      <c r="BL205" s="241" t="str">
        <f t="shared" si="52"/>
        <v/>
      </c>
      <c r="BM205" s="241" t="str">
        <f t="shared" si="53"/>
        <v/>
      </c>
      <c r="BS205" s="247" t="str">
        <f t="shared" si="56"/>
        <v/>
      </c>
      <c r="BV205" s="242" t="str">
        <f t="shared" si="54"/>
        <v/>
      </c>
      <c r="BW205" s="248" t="str">
        <f t="shared" si="55"/>
        <v/>
      </c>
    </row>
    <row r="206" spans="1:134" x14ac:dyDescent="0.3">
      <c r="A206" s="169">
        <v>204</v>
      </c>
      <c r="G206" s="169" t="str">
        <f t="shared" si="48"/>
        <v xml:space="preserve">  </v>
      </c>
      <c r="AI206" s="236">
        <f t="shared" si="49"/>
        <v>0</v>
      </c>
      <c r="AJ206" s="218"/>
      <c r="AO206" s="178">
        <f t="shared" si="46"/>
        <v>0</v>
      </c>
      <c r="AP206" s="178">
        <f t="shared" si="47"/>
        <v>0</v>
      </c>
      <c r="AQ206" s="237" t="str">
        <f t="shared" si="50"/>
        <v/>
      </c>
      <c r="BF206" s="241" t="str">
        <f t="shared" si="51"/>
        <v/>
      </c>
      <c r="BL206" s="241" t="str">
        <f t="shared" si="52"/>
        <v/>
      </c>
      <c r="BM206" s="241" t="str">
        <f t="shared" si="53"/>
        <v/>
      </c>
      <c r="BS206" s="247" t="str">
        <f t="shared" si="56"/>
        <v/>
      </c>
      <c r="BV206" s="242" t="str">
        <f t="shared" si="54"/>
        <v/>
      </c>
      <c r="BW206" s="248" t="str">
        <f t="shared" si="55"/>
        <v/>
      </c>
    </row>
    <row r="207" spans="1:134" x14ac:dyDescent="0.3">
      <c r="A207" s="169">
        <v>205</v>
      </c>
      <c r="G207" s="169" t="str">
        <f t="shared" si="48"/>
        <v xml:space="preserve">  </v>
      </c>
      <c r="AI207" s="236">
        <f t="shared" si="49"/>
        <v>0</v>
      </c>
      <c r="AJ207" s="218"/>
      <c r="AO207" s="178">
        <f t="shared" si="46"/>
        <v>0</v>
      </c>
      <c r="AP207" s="178">
        <f t="shared" si="47"/>
        <v>0</v>
      </c>
      <c r="AQ207" s="237" t="str">
        <f t="shared" si="50"/>
        <v/>
      </c>
      <c r="BF207" s="241" t="str">
        <f t="shared" si="51"/>
        <v/>
      </c>
      <c r="BL207" s="241" t="str">
        <f t="shared" si="52"/>
        <v/>
      </c>
      <c r="BM207" s="241" t="str">
        <f t="shared" si="53"/>
        <v/>
      </c>
      <c r="BS207" s="247" t="str">
        <f t="shared" si="56"/>
        <v/>
      </c>
      <c r="BV207" s="242" t="str">
        <f t="shared" si="54"/>
        <v/>
      </c>
      <c r="BW207" s="248" t="str">
        <f t="shared" si="55"/>
        <v/>
      </c>
    </row>
    <row r="208" spans="1:134" x14ac:dyDescent="0.3">
      <c r="A208" s="169">
        <v>206</v>
      </c>
      <c r="G208" s="169" t="str">
        <f t="shared" si="48"/>
        <v xml:space="preserve">  </v>
      </c>
      <c r="AI208" s="236">
        <f t="shared" si="49"/>
        <v>0</v>
      </c>
      <c r="AJ208" s="218"/>
      <c r="AO208" s="178">
        <f t="shared" si="46"/>
        <v>0</v>
      </c>
      <c r="AP208" s="178">
        <f t="shared" si="47"/>
        <v>0</v>
      </c>
      <c r="AQ208" s="237" t="str">
        <f t="shared" si="50"/>
        <v/>
      </c>
      <c r="BF208" s="241" t="str">
        <f t="shared" si="51"/>
        <v/>
      </c>
      <c r="BL208" s="241" t="str">
        <f t="shared" si="52"/>
        <v/>
      </c>
      <c r="BM208" s="241" t="str">
        <f t="shared" si="53"/>
        <v/>
      </c>
      <c r="BS208" s="247" t="str">
        <f t="shared" si="56"/>
        <v/>
      </c>
      <c r="BV208" s="242" t="str">
        <f t="shared" si="54"/>
        <v/>
      </c>
      <c r="BW208" s="248" t="str">
        <f t="shared" si="55"/>
        <v/>
      </c>
    </row>
    <row r="209" spans="1:75" x14ac:dyDescent="0.3">
      <c r="A209" s="169">
        <v>207</v>
      </c>
      <c r="G209" s="169" t="str">
        <f t="shared" si="48"/>
        <v xml:space="preserve">  </v>
      </c>
      <c r="AI209" s="236">
        <f t="shared" si="49"/>
        <v>0</v>
      </c>
      <c r="AJ209" s="218"/>
      <c r="AO209" s="178">
        <f t="shared" si="46"/>
        <v>0</v>
      </c>
      <c r="AP209" s="178">
        <f t="shared" si="47"/>
        <v>0</v>
      </c>
      <c r="AQ209" s="237" t="str">
        <f t="shared" si="50"/>
        <v/>
      </c>
      <c r="BF209" s="241" t="str">
        <f t="shared" si="51"/>
        <v/>
      </c>
      <c r="BL209" s="241" t="str">
        <f t="shared" si="52"/>
        <v/>
      </c>
      <c r="BM209" s="241" t="str">
        <f t="shared" si="53"/>
        <v/>
      </c>
      <c r="BS209" s="247" t="str">
        <f t="shared" si="56"/>
        <v/>
      </c>
      <c r="BV209" s="242" t="str">
        <f t="shared" si="54"/>
        <v/>
      </c>
      <c r="BW209" s="248" t="str">
        <f t="shared" si="55"/>
        <v/>
      </c>
    </row>
    <row r="210" spans="1:75" x14ac:dyDescent="0.3">
      <c r="A210" s="169">
        <v>208</v>
      </c>
      <c r="G210" s="169" t="str">
        <f t="shared" si="48"/>
        <v xml:space="preserve">  </v>
      </c>
      <c r="AI210" s="236">
        <f t="shared" si="49"/>
        <v>0</v>
      </c>
      <c r="AJ210" s="218"/>
      <c r="AO210" s="178">
        <f t="shared" ref="AO210:AO273" si="57">AN210/2</f>
        <v>0</v>
      </c>
      <c r="AP210" s="178">
        <f t="shared" ref="AP210:AP273" si="58">AM210+AO210</f>
        <v>0</v>
      </c>
      <c r="AQ210" s="237" t="str">
        <f t="shared" si="50"/>
        <v/>
      </c>
      <c r="BF210" s="241" t="str">
        <f t="shared" si="51"/>
        <v/>
      </c>
      <c r="BL210" s="241" t="str">
        <f t="shared" si="52"/>
        <v/>
      </c>
      <c r="BM210" s="241" t="str">
        <f t="shared" si="53"/>
        <v/>
      </c>
      <c r="BS210" s="247" t="str">
        <f t="shared" si="56"/>
        <v/>
      </c>
      <c r="BV210" s="242" t="str">
        <f t="shared" si="54"/>
        <v/>
      </c>
      <c r="BW210" s="248" t="str">
        <f t="shared" si="55"/>
        <v/>
      </c>
    </row>
    <row r="211" spans="1:75" x14ac:dyDescent="0.3">
      <c r="A211" s="169">
        <v>209</v>
      </c>
      <c r="G211" s="169" t="str">
        <f t="shared" si="48"/>
        <v xml:space="preserve">  </v>
      </c>
      <c r="AI211" s="236">
        <f t="shared" si="49"/>
        <v>0</v>
      </c>
      <c r="AJ211" s="218"/>
      <c r="AO211" s="178">
        <f t="shared" si="57"/>
        <v>0</v>
      </c>
      <c r="AP211" s="178">
        <f t="shared" si="58"/>
        <v>0</v>
      </c>
      <c r="AQ211" s="237" t="str">
        <f t="shared" si="50"/>
        <v/>
      </c>
      <c r="BF211" s="241" t="str">
        <f t="shared" si="51"/>
        <v/>
      </c>
      <c r="BL211" s="241" t="str">
        <f t="shared" si="52"/>
        <v/>
      </c>
      <c r="BM211" s="241" t="str">
        <f t="shared" si="53"/>
        <v/>
      </c>
      <c r="BS211" s="247" t="str">
        <f t="shared" si="56"/>
        <v/>
      </c>
      <c r="BV211" s="242" t="str">
        <f t="shared" si="54"/>
        <v/>
      </c>
      <c r="BW211" s="248" t="str">
        <f t="shared" si="55"/>
        <v/>
      </c>
    </row>
    <row r="212" spans="1:75" x14ac:dyDescent="0.3">
      <c r="A212" s="169">
        <v>210</v>
      </c>
      <c r="G212" s="169" t="str">
        <f t="shared" si="48"/>
        <v xml:space="preserve">  </v>
      </c>
      <c r="AI212" s="236">
        <f t="shared" si="49"/>
        <v>0</v>
      </c>
      <c r="AJ212" s="218"/>
      <c r="AO212" s="178">
        <f t="shared" si="57"/>
        <v>0</v>
      </c>
      <c r="AP212" s="178">
        <f t="shared" si="58"/>
        <v>0</v>
      </c>
      <c r="AQ212" s="237" t="str">
        <f t="shared" si="50"/>
        <v/>
      </c>
      <c r="BF212" s="241" t="str">
        <f t="shared" si="51"/>
        <v/>
      </c>
      <c r="BL212" s="241" t="str">
        <f t="shared" si="52"/>
        <v/>
      </c>
      <c r="BM212" s="241" t="str">
        <f t="shared" si="53"/>
        <v/>
      </c>
      <c r="BS212" s="247" t="str">
        <f t="shared" si="56"/>
        <v/>
      </c>
      <c r="BV212" s="242" t="str">
        <f t="shared" si="54"/>
        <v/>
      </c>
      <c r="BW212" s="248" t="str">
        <f t="shared" si="55"/>
        <v/>
      </c>
    </row>
    <row r="213" spans="1:75" x14ac:dyDescent="0.3">
      <c r="A213" s="169">
        <v>211</v>
      </c>
      <c r="G213" s="169" t="str">
        <f t="shared" si="48"/>
        <v xml:space="preserve">  </v>
      </c>
      <c r="AI213" s="236">
        <f t="shared" si="49"/>
        <v>0</v>
      </c>
      <c r="AJ213" s="218"/>
      <c r="AO213" s="178">
        <f t="shared" si="57"/>
        <v>0</v>
      </c>
      <c r="AP213" s="178">
        <f t="shared" si="58"/>
        <v>0</v>
      </c>
      <c r="AQ213" s="237" t="str">
        <f t="shared" si="50"/>
        <v/>
      </c>
      <c r="BF213" s="241" t="str">
        <f t="shared" si="51"/>
        <v/>
      </c>
      <c r="BL213" s="241" t="str">
        <f t="shared" si="52"/>
        <v/>
      </c>
      <c r="BM213" s="241" t="str">
        <f t="shared" si="53"/>
        <v/>
      </c>
      <c r="BS213" s="247" t="str">
        <f t="shared" si="56"/>
        <v/>
      </c>
      <c r="BV213" s="242" t="str">
        <f t="shared" si="54"/>
        <v/>
      </c>
      <c r="BW213" s="248" t="str">
        <f t="shared" si="55"/>
        <v/>
      </c>
    </row>
    <row r="214" spans="1:75" x14ac:dyDescent="0.3">
      <c r="A214" s="169">
        <v>212</v>
      </c>
      <c r="G214" s="169" t="str">
        <f t="shared" si="48"/>
        <v xml:space="preserve">  </v>
      </c>
      <c r="AI214" s="236">
        <f t="shared" si="49"/>
        <v>0</v>
      </c>
      <c r="AJ214" s="218"/>
      <c r="AO214" s="178">
        <f t="shared" si="57"/>
        <v>0</v>
      </c>
      <c r="AP214" s="178">
        <f t="shared" si="58"/>
        <v>0</v>
      </c>
      <c r="AQ214" s="237" t="str">
        <f t="shared" si="50"/>
        <v/>
      </c>
      <c r="BF214" s="241" t="str">
        <f t="shared" si="51"/>
        <v/>
      </c>
      <c r="BL214" s="241" t="str">
        <f t="shared" si="52"/>
        <v/>
      </c>
      <c r="BM214" s="241" t="str">
        <f t="shared" si="53"/>
        <v/>
      </c>
      <c r="BS214" s="247" t="str">
        <f t="shared" si="56"/>
        <v/>
      </c>
      <c r="BV214" s="242" t="str">
        <f t="shared" si="54"/>
        <v/>
      </c>
      <c r="BW214" s="248" t="str">
        <f t="shared" si="55"/>
        <v/>
      </c>
    </row>
    <row r="215" spans="1:75" x14ac:dyDescent="0.3">
      <c r="A215" s="169">
        <v>213</v>
      </c>
      <c r="G215" s="169" t="str">
        <f t="shared" si="48"/>
        <v xml:space="preserve">  </v>
      </c>
      <c r="AI215" s="236">
        <f t="shared" si="49"/>
        <v>0</v>
      </c>
      <c r="AJ215" s="218"/>
      <c r="AO215" s="178">
        <f t="shared" si="57"/>
        <v>0</v>
      </c>
      <c r="AP215" s="178">
        <f t="shared" si="58"/>
        <v>0</v>
      </c>
      <c r="AQ215" s="237" t="str">
        <f t="shared" si="50"/>
        <v/>
      </c>
      <c r="BF215" s="241" t="str">
        <f t="shared" si="51"/>
        <v/>
      </c>
      <c r="BL215" s="241" t="str">
        <f t="shared" si="52"/>
        <v/>
      </c>
      <c r="BM215" s="241" t="str">
        <f t="shared" si="53"/>
        <v/>
      </c>
      <c r="BS215" s="247" t="str">
        <f t="shared" si="56"/>
        <v/>
      </c>
      <c r="BV215" s="242" t="str">
        <f t="shared" si="54"/>
        <v/>
      </c>
      <c r="BW215" s="248" t="str">
        <f t="shared" si="55"/>
        <v/>
      </c>
    </row>
    <row r="216" spans="1:75" x14ac:dyDescent="0.3">
      <c r="A216" s="169">
        <v>214</v>
      </c>
      <c r="G216" s="169" t="str">
        <f t="shared" si="48"/>
        <v xml:space="preserve">  </v>
      </c>
      <c r="AI216" s="236">
        <f t="shared" si="49"/>
        <v>0</v>
      </c>
      <c r="AJ216" s="218"/>
      <c r="AO216" s="178">
        <f t="shared" si="57"/>
        <v>0</v>
      </c>
      <c r="AP216" s="178">
        <f t="shared" si="58"/>
        <v>0</v>
      </c>
      <c r="AQ216" s="237" t="str">
        <f t="shared" si="50"/>
        <v/>
      </c>
      <c r="BF216" s="241" t="str">
        <f t="shared" si="51"/>
        <v/>
      </c>
      <c r="BL216" s="241" t="str">
        <f t="shared" si="52"/>
        <v/>
      </c>
      <c r="BM216" s="241" t="str">
        <f t="shared" si="53"/>
        <v/>
      </c>
      <c r="BS216" s="247" t="str">
        <f t="shared" si="56"/>
        <v/>
      </c>
      <c r="BV216" s="242" t="str">
        <f t="shared" si="54"/>
        <v/>
      </c>
      <c r="BW216" s="248" t="str">
        <f t="shared" si="55"/>
        <v/>
      </c>
    </row>
    <row r="217" spans="1:75" x14ac:dyDescent="0.3">
      <c r="A217" s="169">
        <v>215</v>
      </c>
      <c r="G217" s="169" t="str">
        <f t="shared" si="48"/>
        <v xml:space="preserve">  </v>
      </c>
      <c r="AI217" s="236">
        <f t="shared" si="49"/>
        <v>0</v>
      </c>
      <c r="AJ217" s="218"/>
      <c r="AO217" s="178">
        <f t="shared" si="57"/>
        <v>0</v>
      </c>
      <c r="AP217" s="178">
        <f t="shared" si="58"/>
        <v>0</v>
      </c>
      <c r="AQ217" s="237" t="str">
        <f t="shared" si="50"/>
        <v/>
      </c>
      <c r="BF217" s="241" t="str">
        <f t="shared" si="51"/>
        <v/>
      </c>
      <c r="BL217" s="241" t="str">
        <f t="shared" si="52"/>
        <v/>
      </c>
      <c r="BM217" s="241" t="str">
        <f t="shared" si="53"/>
        <v/>
      </c>
      <c r="BS217" s="247" t="str">
        <f t="shared" si="56"/>
        <v/>
      </c>
      <c r="BV217" s="242" t="str">
        <f t="shared" si="54"/>
        <v/>
      </c>
      <c r="BW217" s="248" t="str">
        <f t="shared" si="55"/>
        <v/>
      </c>
    </row>
    <row r="218" spans="1:75" x14ac:dyDescent="0.3">
      <c r="A218" s="169">
        <v>216</v>
      </c>
      <c r="G218" s="169" t="str">
        <f t="shared" si="48"/>
        <v xml:space="preserve">  </v>
      </c>
      <c r="AI218" s="236">
        <f t="shared" si="49"/>
        <v>0</v>
      </c>
      <c r="AJ218" s="218"/>
      <c r="AO218" s="178">
        <f t="shared" si="57"/>
        <v>0</v>
      </c>
      <c r="AP218" s="178">
        <f t="shared" si="58"/>
        <v>0</v>
      </c>
      <c r="AQ218" s="237" t="str">
        <f t="shared" si="50"/>
        <v/>
      </c>
      <c r="BF218" s="241" t="str">
        <f t="shared" si="51"/>
        <v/>
      </c>
      <c r="BL218" s="241" t="str">
        <f t="shared" si="52"/>
        <v/>
      </c>
      <c r="BM218" s="241" t="str">
        <f t="shared" si="53"/>
        <v/>
      </c>
      <c r="BS218" s="247" t="str">
        <f t="shared" si="56"/>
        <v/>
      </c>
      <c r="BV218" s="242" t="str">
        <f t="shared" si="54"/>
        <v/>
      </c>
      <c r="BW218" s="248" t="str">
        <f t="shared" si="55"/>
        <v/>
      </c>
    </row>
    <row r="219" spans="1:75" x14ac:dyDescent="0.3">
      <c r="A219" s="169">
        <v>217</v>
      </c>
      <c r="G219" s="169" t="str">
        <f t="shared" si="48"/>
        <v xml:space="preserve">  </v>
      </c>
      <c r="AI219" s="236">
        <f t="shared" si="49"/>
        <v>0</v>
      </c>
      <c r="AJ219" s="218"/>
      <c r="AO219" s="178">
        <f t="shared" si="57"/>
        <v>0</v>
      </c>
      <c r="AP219" s="178">
        <f t="shared" si="58"/>
        <v>0</v>
      </c>
      <c r="AQ219" s="237" t="str">
        <f t="shared" si="50"/>
        <v/>
      </c>
      <c r="BF219" s="241" t="str">
        <f t="shared" si="51"/>
        <v/>
      </c>
      <c r="BL219" s="241" t="str">
        <f t="shared" si="52"/>
        <v/>
      </c>
      <c r="BM219" s="241" t="str">
        <f t="shared" si="53"/>
        <v/>
      </c>
      <c r="BS219" s="247" t="str">
        <f t="shared" si="56"/>
        <v/>
      </c>
      <c r="BV219" s="242" t="str">
        <f t="shared" si="54"/>
        <v/>
      </c>
      <c r="BW219" s="248" t="str">
        <f t="shared" si="55"/>
        <v/>
      </c>
    </row>
    <row r="220" spans="1:75" x14ac:dyDescent="0.3">
      <c r="A220" s="169">
        <v>218</v>
      </c>
      <c r="G220" s="169" t="str">
        <f t="shared" si="48"/>
        <v xml:space="preserve">  </v>
      </c>
      <c r="AI220" s="236">
        <f t="shared" si="49"/>
        <v>0</v>
      </c>
      <c r="AJ220" s="218"/>
      <c r="AO220" s="178">
        <f t="shared" si="57"/>
        <v>0</v>
      </c>
      <c r="AP220" s="178">
        <f t="shared" si="58"/>
        <v>0</v>
      </c>
      <c r="AQ220" s="237" t="str">
        <f t="shared" si="50"/>
        <v/>
      </c>
      <c r="BF220" s="241" t="str">
        <f t="shared" si="51"/>
        <v/>
      </c>
      <c r="BL220" s="241" t="str">
        <f t="shared" si="52"/>
        <v/>
      </c>
      <c r="BM220" s="241" t="str">
        <f t="shared" si="53"/>
        <v/>
      </c>
      <c r="BS220" s="247" t="str">
        <f t="shared" si="56"/>
        <v/>
      </c>
      <c r="BV220" s="242" t="str">
        <f t="shared" si="54"/>
        <v/>
      </c>
      <c r="BW220" s="248" t="str">
        <f t="shared" si="55"/>
        <v/>
      </c>
    </row>
    <row r="221" spans="1:75" x14ac:dyDescent="0.3">
      <c r="A221" s="169">
        <v>219</v>
      </c>
      <c r="G221" s="169" t="str">
        <f t="shared" si="48"/>
        <v xml:space="preserve">  </v>
      </c>
      <c r="AI221" s="236">
        <f t="shared" si="49"/>
        <v>0</v>
      </c>
      <c r="AJ221" s="218"/>
      <c r="AO221" s="178">
        <f t="shared" si="57"/>
        <v>0</v>
      </c>
      <c r="AP221" s="178">
        <f t="shared" si="58"/>
        <v>0</v>
      </c>
      <c r="AQ221" s="237" t="str">
        <f t="shared" si="50"/>
        <v/>
      </c>
      <c r="BF221" s="241" t="str">
        <f t="shared" si="51"/>
        <v/>
      </c>
      <c r="BL221" s="241" t="str">
        <f t="shared" si="52"/>
        <v/>
      </c>
      <c r="BM221" s="241" t="str">
        <f t="shared" si="53"/>
        <v/>
      </c>
      <c r="BS221" s="247" t="str">
        <f t="shared" si="56"/>
        <v/>
      </c>
      <c r="BV221" s="242" t="str">
        <f t="shared" si="54"/>
        <v/>
      </c>
      <c r="BW221" s="248" t="str">
        <f t="shared" si="55"/>
        <v/>
      </c>
    </row>
    <row r="222" spans="1:75" x14ac:dyDescent="0.3">
      <c r="A222" s="169">
        <v>220</v>
      </c>
      <c r="G222" s="169" t="str">
        <f t="shared" si="48"/>
        <v xml:space="preserve">  </v>
      </c>
      <c r="AI222" s="236">
        <f t="shared" si="49"/>
        <v>0</v>
      </c>
      <c r="AJ222" s="218"/>
      <c r="AO222" s="178">
        <f t="shared" si="57"/>
        <v>0</v>
      </c>
      <c r="AP222" s="178">
        <f t="shared" si="58"/>
        <v>0</v>
      </c>
      <c r="AQ222" s="237" t="str">
        <f t="shared" si="50"/>
        <v/>
      </c>
      <c r="BF222" s="241" t="str">
        <f t="shared" si="51"/>
        <v/>
      </c>
      <c r="BL222" s="241" t="str">
        <f t="shared" si="52"/>
        <v/>
      </c>
      <c r="BM222" s="241" t="str">
        <f t="shared" si="53"/>
        <v/>
      </c>
      <c r="BS222" s="247" t="str">
        <f t="shared" si="56"/>
        <v/>
      </c>
      <c r="BV222" s="242" t="str">
        <f t="shared" si="54"/>
        <v/>
      </c>
      <c r="BW222" s="248" t="str">
        <f t="shared" si="55"/>
        <v/>
      </c>
    </row>
    <row r="223" spans="1:75" x14ac:dyDescent="0.3">
      <c r="A223" s="169">
        <v>221</v>
      </c>
      <c r="G223" s="169" t="str">
        <f t="shared" si="48"/>
        <v xml:space="preserve">  </v>
      </c>
      <c r="AI223" s="236">
        <f t="shared" si="49"/>
        <v>0</v>
      </c>
      <c r="AJ223" s="218"/>
      <c r="AO223" s="178">
        <f t="shared" si="57"/>
        <v>0</v>
      </c>
      <c r="AP223" s="178">
        <f t="shared" si="58"/>
        <v>0</v>
      </c>
      <c r="AQ223" s="237" t="str">
        <f t="shared" si="50"/>
        <v/>
      </c>
      <c r="BF223" s="241" t="str">
        <f t="shared" si="51"/>
        <v/>
      </c>
      <c r="BL223" s="241" t="str">
        <f t="shared" si="52"/>
        <v/>
      </c>
      <c r="BM223" s="241" t="str">
        <f t="shared" si="53"/>
        <v/>
      </c>
      <c r="BS223" s="247" t="str">
        <f t="shared" si="56"/>
        <v/>
      </c>
      <c r="BV223" s="242" t="str">
        <f t="shared" si="54"/>
        <v/>
      </c>
      <c r="BW223" s="248" t="str">
        <f t="shared" si="55"/>
        <v/>
      </c>
    </row>
    <row r="224" spans="1:75" x14ac:dyDescent="0.3">
      <c r="A224" s="169">
        <v>222</v>
      </c>
      <c r="G224" s="169" t="str">
        <f t="shared" si="48"/>
        <v xml:space="preserve">  </v>
      </c>
      <c r="AI224" s="236">
        <f t="shared" si="49"/>
        <v>0</v>
      </c>
      <c r="AJ224" s="218"/>
      <c r="AO224" s="178">
        <f t="shared" si="57"/>
        <v>0</v>
      </c>
      <c r="AP224" s="178">
        <f t="shared" si="58"/>
        <v>0</v>
      </c>
      <c r="AQ224" s="237" t="str">
        <f t="shared" si="50"/>
        <v/>
      </c>
      <c r="BF224" s="241" t="str">
        <f t="shared" si="51"/>
        <v/>
      </c>
      <c r="BL224" s="241" t="str">
        <f t="shared" si="52"/>
        <v/>
      </c>
      <c r="BM224" s="241" t="str">
        <f t="shared" si="53"/>
        <v/>
      </c>
      <c r="BS224" s="247" t="str">
        <f t="shared" si="56"/>
        <v/>
      </c>
      <c r="BV224" s="242" t="str">
        <f t="shared" si="54"/>
        <v/>
      </c>
      <c r="BW224" s="248" t="str">
        <f t="shared" si="55"/>
        <v/>
      </c>
    </row>
    <row r="225" spans="1:75" x14ac:dyDescent="0.3">
      <c r="A225" s="169">
        <v>223</v>
      </c>
      <c r="G225" s="169" t="str">
        <f t="shared" si="48"/>
        <v xml:space="preserve">  </v>
      </c>
      <c r="AI225" s="236">
        <f t="shared" si="49"/>
        <v>0</v>
      </c>
      <c r="AJ225" s="218"/>
      <c r="AO225" s="178">
        <f t="shared" si="57"/>
        <v>0</v>
      </c>
      <c r="AP225" s="178">
        <f t="shared" si="58"/>
        <v>0</v>
      </c>
      <c r="AQ225" s="237" t="str">
        <f t="shared" si="50"/>
        <v/>
      </c>
      <c r="BF225" s="241" t="str">
        <f t="shared" si="51"/>
        <v/>
      </c>
      <c r="BL225" s="241" t="str">
        <f t="shared" si="52"/>
        <v/>
      </c>
      <c r="BM225" s="241" t="str">
        <f t="shared" si="53"/>
        <v/>
      </c>
      <c r="BS225" s="247" t="str">
        <f t="shared" si="56"/>
        <v/>
      </c>
      <c r="BV225" s="242" t="str">
        <f t="shared" si="54"/>
        <v/>
      </c>
      <c r="BW225" s="248" t="str">
        <f t="shared" si="55"/>
        <v/>
      </c>
    </row>
    <row r="226" spans="1:75" x14ac:dyDescent="0.3">
      <c r="A226" s="169">
        <v>224</v>
      </c>
      <c r="G226" s="169" t="str">
        <f t="shared" si="48"/>
        <v xml:space="preserve">  </v>
      </c>
      <c r="AI226" s="236">
        <f t="shared" si="49"/>
        <v>0</v>
      </c>
      <c r="AJ226" s="218"/>
      <c r="AO226" s="178">
        <f t="shared" si="57"/>
        <v>0</v>
      </c>
      <c r="AP226" s="178">
        <f t="shared" si="58"/>
        <v>0</v>
      </c>
      <c r="AQ226" s="237" t="str">
        <f t="shared" si="50"/>
        <v/>
      </c>
      <c r="BF226" s="241" t="str">
        <f t="shared" si="51"/>
        <v/>
      </c>
      <c r="BL226" s="241" t="str">
        <f t="shared" si="52"/>
        <v/>
      </c>
      <c r="BM226" s="241" t="str">
        <f t="shared" si="53"/>
        <v/>
      </c>
      <c r="BS226" s="247" t="str">
        <f t="shared" si="56"/>
        <v/>
      </c>
      <c r="BV226" s="242" t="str">
        <f t="shared" si="54"/>
        <v/>
      </c>
      <c r="BW226" s="248" t="str">
        <f t="shared" si="55"/>
        <v/>
      </c>
    </row>
    <row r="227" spans="1:75" x14ac:dyDescent="0.3">
      <c r="A227" s="169">
        <v>225</v>
      </c>
      <c r="G227" s="169" t="str">
        <f t="shared" si="48"/>
        <v xml:space="preserve">  </v>
      </c>
      <c r="AI227" s="236">
        <f t="shared" si="49"/>
        <v>0</v>
      </c>
      <c r="AJ227" s="218"/>
      <c r="AO227" s="178">
        <f t="shared" si="57"/>
        <v>0</v>
      </c>
      <c r="AP227" s="178">
        <f t="shared" si="58"/>
        <v>0</v>
      </c>
      <c r="AQ227" s="237" t="str">
        <f t="shared" si="50"/>
        <v/>
      </c>
      <c r="BF227" s="241" t="str">
        <f t="shared" si="51"/>
        <v/>
      </c>
      <c r="BL227" s="241" t="str">
        <f t="shared" si="52"/>
        <v/>
      </c>
      <c r="BM227" s="241" t="str">
        <f t="shared" si="53"/>
        <v/>
      </c>
      <c r="BS227" s="247" t="str">
        <f t="shared" si="56"/>
        <v/>
      </c>
      <c r="BV227" s="242" t="str">
        <f t="shared" si="54"/>
        <v/>
      </c>
      <c r="BW227" s="248" t="str">
        <f t="shared" si="55"/>
        <v/>
      </c>
    </row>
    <row r="228" spans="1:75" x14ac:dyDescent="0.3">
      <c r="A228" s="169">
        <v>226</v>
      </c>
      <c r="G228" s="169" t="str">
        <f t="shared" si="48"/>
        <v xml:space="preserve">  </v>
      </c>
      <c r="AI228" s="236">
        <f t="shared" si="49"/>
        <v>0</v>
      </c>
      <c r="AJ228" s="218"/>
      <c r="AO228" s="178">
        <f t="shared" si="57"/>
        <v>0</v>
      </c>
      <c r="AP228" s="178">
        <f t="shared" si="58"/>
        <v>0</v>
      </c>
      <c r="AQ228" s="237" t="str">
        <f t="shared" si="50"/>
        <v/>
      </c>
      <c r="BF228" s="241" t="str">
        <f t="shared" si="51"/>
        <v/>
      </c>
      <c r="BL228" s="241" t="str">
        <f t="shared" si="52"/>
        <v/>
      </c>
      <c r="BM228" s="241" t="str">
        <f t="shared" si="53"/>
        <v/>
      </c>
      <c r="BS228" s="247" t="str">
        <f t="shared" si="56"/>
        <v/>
      </c>
      <c r="BV228" s="242" t="str">
        <f t="shared" si="54"/>
        <v/>
      </c>
      <c r="BW228" s="248" t="str">
        <f t="shared" si="55"/>
        <v/>
      </c>
    </row>
    <row r="229" spans="1:75" x14ac:dyDescent="0.3">
      <c r="A229" s="169">
        <v>227</v>
      </c>
      <c r="G229" s="169" t="str">
        <f t="shared" si="48"/>
        <v xml:space="preserve">  </v>
      </c>
      <c r="AI229" s="236">
        <f t="shared" si="49"/>
        <v>0</v>
      </c>
      <c r="AJ229" s="218"/>
      <c r="AO229" s="178">
        <f t="shared" si="57"/>
        <v>0</v>
      </c>
      <c r="AP229" s="178">
        <f t="shared" si="58"/>
        <v>0</v>
      </c>
      <c r="AQ229" s="237" t="str">
        <f t="shared" si="50"/>
        <v/>
      </c>
      <c r="BF229" s="241" t="str">
        <f t="shared" si="51"/>
        <v/>
      </c>
      <c r="BL229" s="241" t="str">
        <f t="shared" si="52"/>
        <v/>
      </c>
      <c r="BM229" s="241" t="str">
        <f t="shared" si="53"/>
        <v/>
      </c>
      <c r="BS229" s="247" t="str">
        <f t="shared" si="56"/>
        <v/>
      </c>
      <c r="BV229" s="242" t="str">
        <f t="shared" si="54"/>
        <v/>
      </c>
      <c r="BW229" s="248" t="str">
        <f t="shared" si="55"/>
        <v/>
      </c>
    </row>
    <row r="230" spans="1:75" x14ac:dyDescent="0.3">
      <c r="A230" s="169">
        <v>228</v>
      </c>
      <c r="G230" s="169" t="str">
        <f t="shared" si="48"/>
        <v xml:space="preserve">  </v>
      </c>
      <c r="AI230" s="236">
        <f t="shared" si="49"/>
        <v>0</v>
      </c>
      <c r="AJ230" s="218"/>
      <c r="AO230" s="178">
        <f t="shared" si="57"/>
        <v>0</v>
      </c>
      <c r="AP230" s="178">
        <f t="shared" si="58"/>
        <v>0</v>
      </c>
      <c r="AQ230" s="237" t="str">
        <f t="shared" si="50"/>
        <v/>
      </c>
      <c r="BF230" s="241" t="str">
        <f t="shared" si="51"/>
        <v/>
      </c>
      <c r="BL230" s="241" t="str">
        <f t="shared" si="52"/>
        <v/>
      </c>
      <c r="BM230" s="241" t="str">
        <f t="shared" si="53"/>
        <v/>
      </c>
      <c r="BS230" s="247" t="str">
        <f t="shared" si="56"/>
        <v/>
      </c>
      <c r="BV230" s="242" t="str">
        <f t="shared" si="54"/>
        <v/>
      </c>
      <c r="BW230" s="248" t="str">
        <f t="shared" si="55"/>
        <v/>
      </c>
    </row>
    <row r="231" spans="1:75" x14ac:dyDescent="0.3">
      <c r="A231" s="169">
        <v>229</v>
      </c>
      <c r="G231" s="169" t="str">
        <f t="shared" si="48"/>
        <v xml:space="preserve">  </v>
      </c>
      <c r="AI231" s="236">
        <f t="shared" si="49"/>
        <v>0</v>
      </c>
      <c r="AJ231" s="218"/>
      <c r="AO231" s="178">
        <f t="shared" si="57"/>
        <v>0</v>
      </c>
      <c r="AP231" s="178">
        <f t="shared" si="58"/>
        <v>0</v>
      </c>
      <c r="AQ231" s="237" t="str">
        <f t="shared" si="50"/>
        <v/>
      </c>
      <c r="BF231" s="241" t="str">
        <f t="shared" si="51"/>
        <v/>
      </c>
      <c r="BL231" s="241" t="str">
        <f t="shared" si="52"/>
        <v/>
      </c>
      <c r="BM231" s="241" t="str">
        <f t="shared" si="53"/>
        <v/>
      </c>
      <c r="BS231" s="247" t="str">
        <f t="shared" si="56"/>
        <v/>
      </c>
      <c r="BV231" s="242" t="str">
        <f t="shared" si="54"/>
        <v/>
      </c>
      <c r="BW231" s="248" t="str">
        <f t="shared" si="55"/>
        <v/>
      </c>
    </row>
    <row r="232" spans="1:75" x14ac:dyDescent="0.3">
      <c r="A232" s="169">
        <v>230</v>
      </c>
      <c r="G232" s="169" t="str">
        <f t="shared" si="48"/>
        <v xml:space="preserve">  </v>
      </c>
      <c r="AI232" s="236">
        <f t="shared" si="49"/>
        <v>0</v>
      </c>
      <c r="AJ232" s="218"/>
      <c r="AO232" s="178">
        <f t="shared" si="57"/>
        <v>0</v>
      </c>
      <c r="AP232" s="178">
        <f t="shared" si="58"/>
        <v>0</v>
      </c>
      <c r="AQ232" s="237" t="str">
        <f t="shared" si="50"/>
        <v/>
      </c>
      <c r="BF232" s="241" t="str">
        <f t="shared" si="51"/>
        <v/>
      </c>
      <c r="BL232" s="241" t="str">
        <f t="shared" si="52"/>
        <v/>
      </c>
      <c r="BM232" s="241" t="str">
        <f t="shared" si="53"/>
        <v/>
      </c>
      <c r="BS232" s="247" t="str">
        <f t="shared" si="56"/>
        <v/>
      </c>
      <c r="BV232" s="242" t="str">
        <f t="shared" si="54"/>
        <v/>
      </c>
      <c r="BW232" s="248" t="str">
        <f t="shared" si="55"/>
        <v/>
      </c>
    </row>
    <row r="233" spans="1:75" x14ac:dyDescent="0.3">
      <c r="A233" s="169">
        <v>231</v>
      </c>
      <c r="G233" s="169" t="str">
        <f t="shared" si="48"/>
        <v xml:space="preserve">  </v>
      </c>
      <c r="AI233" s="236">
        <f t="shared" si="49"/>
        <v>0</v>
      </c>
      <c r="AJ233" s="218"/>
      <c r="AO233" s="178">
        <f t="shared" si="57"/>
        <v>0</v>
      </c>
      <c r="AP233" s="178">
        <f t="shared" si="58"/>
        <v>0</v>
      </c>
      <c r="AQ233" s="237" t="str">
        <f t="shared" si="50"/>
        <v/>
      </c>
      <c r="BF233" s="241" t="str">
        <f t="shared" si="51"/>
        <v/>
      </c>
      <c r="BL233" s="241" t="str">
        <f t="shared" si="52"/>
        <v/>
      </c>
      <c r="BM233" s="241" t="str">
        <f t="shared" si="53"/>
        <v/>
      </c>
      <c r="BS233" s="247" t="str">
        <f t="shared" si="56"/>
        <v/>
      </c>
      <c r="BV233" s="242" t="str">
        <f t="shared" si="54"/>
        <v/>
      </c>
      <c r="BW233" s="248" t="str">
        <f t="shared" si="55"/>
        <v/>
      </c>
    </row>
    <row r="234" spans="1:75" x14ac:dyDescent="0.3">
      <c r="A234" s="169">
        <v>232</v>
      </c>
      <c r="G234" s="169" t="str">
        <f t="shared" si="48"/>
        <v xml:space="preserve">  </v>
      </c>
      <c r="AI234" s="236">
        <f t="shared" si="49"/>
        <v>0</v>
      </c>
      <c r="AJ234" s="218"/>
      <c r="AO234" s="178">
        <f t="shared" si="57"/>
        <v>0</v>
      </c>
      <c r="AP234" s="178">
        <f t="shared" si="58"/>
        <v>0</v>
      </c>
      <c r="AQ234" s="237" t="str">
        <f t="shared" si="50"/>
        <v/>
      </c>
      <c r="BF234" s="241" t="str">
        <f t="shared" si="51"/>
        <v/>
      </c>
      <c r="BL234" s="241" t="str">
        <f t="shared" si="52"/>
        <v/>
      </c>
      <c r="BM234" s="241" t="str">
        <f t="shared" si="53"/>
        <v/>
      </c>
      <c r="BS234" s="247" t="str">
        <f t="shared" si="56"/>
        <v/>
      </c>
      <c r="BV234" s="242" t="str">
        <f t="shared" si="54"/>
        <v/>
      </c>
      <c r="BW234" s="248" t="str">
        <f t="shared" si="55"/>
        <v/>
      </c>
    </row>
    <row r="235" spans="1:75" x14ac:dyDescent="0.3">
      <c r="A235" s="169">
        <v>233</v>
      </c>
      <c r="G235" s="169" t="str">
        <f t="shared" si="48"/>
        <v xml:space="preserve">  </v>
      </c>
      <c r="AI235" s="236">
        <f t="shared" si="49"/>
        <v>0</v>
      </c>
      <c r="AJ235" s="218"/>
      <c r="AO235" s="178">
        <f t="shared" si="57"/>
        <v>0</v>
      </c>
      <c r="AP235" s="178">
        <f t="shared" si="58"/>
        <v>0</v>
      </c>
      <c r="AQ235" s="237" t="str">
        <f t="shared" si="50"/>
        <v/>
      </c>
      <c r="BF235" s="241" t="str">
        <f t="shared" si="51"/>
        <v/>
      </c>
      <c r="BL235" s="241" t="str">
        <f t="shared" si="52"/>
        <v/>
      </c>
      <c r="BM235" s="241" t="str">
        <f t="shared" si="53"/>
        <v/>
      </c>
      <c r="BS235" s="247" t="str">
        <f t="shared" si="56"/>
        <v/>
      </c>
      <c r="BV235" s="242" t="str">
        <f t="shared" si="54"/>
        <v/>
      </c>
      <c r="BW235" s="248" t="str">
        <f t="shared" si="55"/>
        <v/>
      </c>
    </row>
    <row r="236" spans="1:75" x14ac:dyDescent="0.3">
      <c r="A236" s="169">
        <v>234</v>
      </c>
      <c r="G236" s="169" t="str">
        <f t="shared" si="48"/>
        <v xml:space="preserve">  </v>
      </c>
      <c r="AI236" s="236">
        <f t="shared" si="49"/>
        <v>0</v>
      </c>
      <c r="AJ236" s="218"/>
      <c r="AO236" s="178">
        <f t="shared" si="57"/>
        <v>0</v>
      </c>
      <c r="AP236" s="178">
        <f t="shared" si="58"/>
        <v>0</v>
      </c>
      <c r="AQ236" s="237" t="str">
        <f t="shared" si="50"/>
        <v/>
      </c>
      <c r="BF236" s="241" t="str">
        <f t="shared" si="51"/>
        <v/>
      </c>
      <c r="BL236" s="241" t="str">
        <f t="shared" si="52"/>
        <v/>
      </c>
      <c r="BM236" s="241" t="str">
        <f t="shared" si="53"/>
        <v/>
      </c>
      <c r="BS236" s="247" t="str">
        <f t="shared" si="56"/>
        <v/>
      </c>
      <c r="BV236" s="242" t="str">
        <f t="shared" si="54"/>
        <v/>
      </c>
      <c r="BW236" s="248" t="str">
        <f t="shared" si="55"/>
        <v/>
      </c>
    </row>
    <row r="237" spans="1:75" x14ac:dyDescent="0.3">
      <c r="A237" s="169">
        <v>235</v>
      </c>
      <c r="G237" s="169" t="str">
        <f t="shared" si="48"/>
        <v xml:space="preserve">  </v>
      </c>
      <c r="AI237" s="236">
        <f t="shared" si="49"/>
        <v>0</v>
      </c>
      <c r="AJ237" s="218"/>
      <c r="AO237" s="178">
        <f t="shared" si="57"/>
        <v>0</v>
      </c>
      <c r="AP237" s="178">
        <f t="shared" si="58"/>
        <v>0</v>
      </c>
      <c r="AQ237" s="237" t="str">
        <f t="shared" si="50"/>
        <v/>
      </c>
      <c r="BF237" s="241" t="str">
        <f t="shared" si="51"/>
        <v/>
      </c>
      <c r="BL237" s="241" t="str">
        <f t="shared" si="52"/>
        <v/>
      </c>
      <c r="BM237" s="241" t="str">
        <f t="shared" si="53"/>
        <v/>
      </c>
      <c r="BS237" s="247" t="str">
        <f t="shared" si="56"/>
        <v/>
      </c>
      <c r="BV237" s="242" t="str">
        <f t="shared" si="54"/>
        <v/>
      </c>
      <c r="BW237" s="248" t="str">
        <f t="shared" si="55"/>
        <v/>
      </c>
    </row>
    <row r="238" spans="1:75" x14ac:dyDescent="0.3">
      <c r="A238" s="169">
        <v>236</v>
      </c>
      <c r="G238" s="169" t="str">
        <f t="shared" si="48"/>
        <v xml:space="preserve">  </v>
      </c>
      <c r="AI238" s="236">
        <f t="shared" si="49"/>
        <v>0</v>
      </c>
      <c r="AJ238" s="218"/>
      <c r="AO238" s="178">
        <f t="shared" si="57"/>
        <v>0</v>
      </c>
      <c r="AP238" s="178">
        <f t="shared" si="58"/>
        <v>0</v>
      </c>
      <c r="AQ238" s="237" t="str">
        <f t="shared" si="50"/>
        <v/>
      </c>
      <c r="BF238" s="241" t="str">
        <f t="shared" si="51"/>
        <v/>
      </c>
      <c r="BL238" s="241" t="str">
        <f t="shared" si="52"/>
        <v/>
      </c>
      <c r="BM238" s="241" t="str">
        <f t="shared" si="53"/>
        <v/>
      </c>
      <c r="BS238" s="247" t="str">
        <f t="shared" si="56"/>
        <v/>
      </c>
      <c r="BV238" s="242" t="str">
        <f t="shared" si="54"/>
        <v/>
      </c>
      <c r="BW238" s="248" t="str">
        <f t="shared" si="55"/>
        <v/>
      </c>
    </row>
    <row r="239" spans="1:75" x14ac:dyDescent="0.3">
      <c r="A239" s="169">
        <v>237</v>
      </c>
      <c r="G239" s="169" t="str">
        <f t="shared" si="48"/>
        <v xml:space="preserve">  </v>
      </c>
      <c r="AI239" s="236">
        <f t="shared" si="49"/>
        <v>0</v>
      </c>
      <c r="AJ239" s="218"/>
      <c r="AO239" s="178">
        <f t="shared" si="57"/>
        <v>0</v>
      </c>
      <c r="AP239" s="178">
        <f t="shared" si="58"/>
        <v>0</v>
      </c>
      <c r="AQ239" s="237" t="str">
        <f t="shared" si="50"/>
        <v/>
      </c>
      <c r="BF239" s="241" t="str">
        <f t="shared" si="51"/>
        <v/>
      </c>
      <c r="BL239" s="241" t="str">
        <f t="shared" si="52"/>
        <v/>
      </c>
      <c r="BM239" s="241" t="str">
        <f t="shared" si="53"/>
        <v/>
      </c>
      <c r="BS239" s="247" t="str">
        <f t="shared" si="56"/>
        <v/>
      </c>
      <c r="BV239" s="242" t="str">
        <f t="shared" si="54"/>
        <v/>
      </c>
      <c r="BW239" s="248" t="str">
        <f t="shared" si="55"/>
        <v/>
      </c>
    </row>
    <row r="240" spans="1:75" x14ac:dyDescent="0.3">
      <c r="A240" s="169">
        <v>238</v>
      </c>
      <c r="G240" s="169" t="str">
        <f t="shared" si="48"/>
        <v xml:space="preserve">  </v>
      </c>
      <c r="AI240" s="236">
        <f t="shared" si="49"/>
        <v>0</v>
      </c>
      <c r="AJ240" s="218"/>
      <c r="AO240" s="178">
        <f t="shared" si="57"/>
        <v>0</v>
      </c>
      <c r="AP240" s="178">
        <f t="shared" si="58"/>
        <v>0</v>
      </c>
      <c r="AQ240" s="237" t="str">
        <f t="shared" si="50"/>
        <v/>
      </c>
      <c r="BF240" s="241" t="str">
        <f t="shared" si="51"/>
        <v/>
      </c>
      <c r="BL240" s="241" t="str">
        <f t="shared" si="52"/>
        <v/>
      </c>
      <c r="BM240" s="241" t="str">
        <f t="shared" si="53"/>
        <v/>
      </c>
      <c r="BS240" s="247" t="str">
        <f t="shared" si="56"/>
        <v/>
      </c>
      <c r="BV240" s="242" t="str">
        <f t="shared" si="54"/>
        <v/>
      </c>
      <c r="BW240" s="248" t="str">
        <f t="shared" si="55"/>
        <v/>
      </c>
    </row>
    <row r="241" spans="1:75" x14ac:dyDescent="0.3">
      <c r="A241" s="169">
        <v>239</v>
      </c>
      <c r="G241" s="169" t="str">
        <f t="shared" si="48"/>
        <v xml:space="preserve">  </v>
      </c>
      <c r="AI241" s="236">
        <f t="shared" si="49"/>
        <v>0</v>
      </c>
      <c r="AJ241" s="218"/>
      <c r="AO241" s="178">
        <f t="shared" si="57"/>
        <v>0</v>
      </c>
      <c r="AP241" s="178">
        <f t="shared" si="58"/>
        <v>0</v>
      </c>
      <c r="AQ241" s="237" t="str">
        <f t="shared" si="50"/>
        <v/>
      </c>
      <c r="BF241" s="241" t="str">
        <f t="shared" si="51"/>
        <v/>
      </c>
      <c r="BL241" s="241" t="str">
        <f t="shared" si="52"/>
        <v/>
      </c>
      <c r="BM241" s="241" t="str">
        <f t="shared" si="53"/>
        <v/>
      </c>
      <c r="BS241" s="247" t="str">
        <f t="shared" si="56"/>
        <v/>
      </c>
      <c r="BV241" s="242" t="str">
        <f t="shared" si="54"/>
        <v/>
      </c>
      <c r="BW241" s="248" t="str">
        <f t="shared" si="55"/>
        <v/>
      </c>
    </row>
    <row r="242" spans="1:75" x14ac:dyDescent="0.3">
      <c r="A242" s="169">
        <v>240</v>
      </c>
      <c r="G242" s="169" t="str">
        <f t="shared" si="48"/>
        <v xml:space="preserve">  </v>
      </c>
      <c r="AI242" s="236">
        <f t="shared" si="49"/>
        <v>0</v>
      </c>
      <c r="AJ242" s="218"/>
      <c r="AO242" s="178">
        <f t="shared" si="57"/>
        <v>0</v>
      </c>
      <c r="AP242" s="178">
        <f t="shared" si="58"/>
        <v>0</v>
      </c>
      <c r="AQ242" s="237" t="str">
        <f t="shared" si="50"/>
        <v/>
      </c>
      <c r="BF242" s="241" t="str">
        <f t="shared" si="51"/>
        <v/>
      </c>
      <c r="BL242" s="241" t="str">
        <f t="shared" si="52"/>
        <v/>
      </c>
      <c r="BM242" s="241" t="str">
        <f t="shared" si="53"/>
        <v/>
      </c>
      <c r="BS242" s="247" t="str">
        <f t="shared" si="56"/>
        <v/>
      </c>
      <c r="BV242" s="242" t="str">
        <f t="shared" si="54"/>
        <v/>
      </c>
      <c r="BW242" s="248" t="str">
        <f t="shared" si="55"/>
        <v/>
      </c>
    </row>
    <row r="243" spans="1:75" x14ac:dyDescent="0.3">
      <c r="A243" s="169">
        <v>241</v>
      </c>
      <c r="G243" s="169" t="str">
        <f t="shared" si="48"/>
        <v xml:space="preserve">  </v>
      </c>
      <c r="AI243" s="236">
        <f t="shared" si="49"/>
        <v>0</v>
      </c>
      <c r="AJ243" s="218"/>
      <c r="AO243" s="178">
        <f t="shared" si="57"/>
        <v>0</v>
      </c>
      <c r="AP243" s="178">
        <f t="shared" si="58"/>
        <v>0</v>
      </c>
      <c r="AQ243" s="237" t="str">
        <f t="shared" si="50"/>
        <v/>
      </c>
      <c r="BF243" s="241" t="str">
        <f t="shared" si="51"/>
        <v/>
      </c>
      <c r="BL243" s="241" t="str">
        <f t="shared" si="52"/>
        <v/>
      </c>
      <c r="BM243" s="241" t="str">
        <f t="shared" si="53"/>
        <v/>
      </c>
      <c r="BS243" s="247" t="str">
        <f t="shared" si="56"/>
        <v/>
      </c>
      <c r="BV243" s="242" t="str">
        <f t="shared" si="54"/>
        <v/>
      </c>
      <c r="BW243" s="248" t="str">
        <f t="shared" si="55"/>
        <v/>
      </c>
    </row>
    <row r="244" spans="1:75" x14ac:dyDescent="0.3">
      <c r="A244" s="169">
        <v>242</v>
      </c>
      <c r="G244" s="169" t="str">
        <f t="shared" si="48"/>
        <v xml:space="preserve">  </v>
      </c>
      <c r="AI244" s="236">
        <f t="shared" si="49"/>
        <v>0</v>
      </c>
      <c r="AJ244" s="218"/>
      <c r="AO244" s="178">
        <f t="shared" si="57"/>
        <v>0</v>
      </c>
      <c r="AP244" s="178">
        <f t="shared" si="58"/>
        <v>0</v>
      </c>
      <c r="AQ244" s="237" t="str">
        <f t="shared" si="50"/>
        <v/>
      </c>
      <c r="BF244" s="241" t="str">
        <f t="shared" si="51"/>
        <v/>
      </c>
      <c r="BL244" s="241" t="str">
        <f t="shared" si="52"/>
        <v/>
      </c>
      <c r="BM244" s="241" t="str">
        <f t="shared" si="53"/>
        <v/>
      </c>
      <c r="BS244" s="247" t="str">
        <f t="shared" si="56"/>
        <v/>
      </c>
      <c r="BV244" s="242" t="str">
        <f t="shared" si="54"/>
        <v/>
      </c>
      <c r="BW244" s="248" t="str">
        <f t="shared" si="55"/>
        <v/>
      </c>
    </row>
    <row r="245" spans="1:75" x14ac:dyDescent="0.3">
      <c r="A245" s="169">
        <v>243</v>
      </c>
      <c r="G245" s="169" t="str">
        <f t="shared" si="48"/>
        <v xml:space="preserve">  </v>
      </c>
      <c r="AI245" s="236">
        <f t="shared" si="49"/>
        <v>0</v>
      </c>
      <c r="AJ245" s="218"/>
      <c r="AO245" s="178">
        <f t="shared" si="57"/>
        <v>0</v>
      </c>
      <c r="AP245" s="178">
        <f t="shared" si="58"/>
        <v>0</v>
      </c>
      <c r="AQ245" s="237" t="str">
        <f t="shared" si="50"/>
        <v/>
      </c>
      <c r="BF245" s="241" t="str">
        <f t="shared" si="51"/>
        <v/>
      </c>
      <c r="BL245" s="241" t="str">
        <f t="shared" si="52"/>
        <v/>
      </c>
      <c r="BM245" s="241" t="str">
        <f t="shared" si="53"/>
        <v/>
      </c>
      <c r="BS245" s="247" t="str">
        <f t="shared" si="56"/>
        <v/>
      </c>
      <c r="BV245" s="242" t="str">
        <f t="shared" si="54"/>
        <v/>
      </c>
      <c r="BW245" s="248" t="str">
        <f t="shared" si="55"/>
        <v/>
      </c>
    </row>
    <row r="246" spans="1:75" x14ac:dyDescent="0.3">
      <c r="A246" s="169">
        <v>244</v>
      </c>
      <c r="G246" s="169" t="str">
        <f t="shared" si="48"/>
        <v xml:space="preserve">  </v>
      </c>
      <c r="AI246" s="236">
        <f t="shared" si="49"/>
        <v>0</v>
      </c>
      <c r="AJ246" s="218"/>
      <c r="AO246" s="178">
        <f t="shared" si="57"/>
        <v>0</v>
      </c>
      <c r="AP246" s="178">
        <f t="shared" si="58"/>
        <v>0</v>
      </c>
      <c r="AQ246" s="237" t="str">
        <f t="shared" si="50"/>
        <v/>
      </c>
      <c r="BF246" s="241" t="str">
        <f t="shared" si="51"/>
        <v/>
      </c>
      <c r="BL246" s="241" t="str">
        <f t="shared" si="52"/>
        <v/>
      </c>
      <c r="BM246" s="241" t="str">
        <f t="shared" si="53"/>
        <v/>
      </c>
      <c r="BS246" s="247" t="str">
        <f t="shared" si="56"/>
        <v/>
      </c>
      <c r="BV246" s="242" t="str">
        <f t="shared" si="54"/>
        <v/>
      </c>
      <c r="BW246" s="248" t="str">
        <f t="shared" si="55"/>
        <v/>
      </c>
    </row>
    <row r="247" spans="1:75" x14ac:dyDescent="0.3">
      <c r="A247" s="169">
        <v>245</v>
      </c>
      <c r="G247" s="169" t="str">
        <f t="shared" si="48"/>
        <v xml:space="preserve">  </v>
      </c>
      <c r="AI247" s="236">
        <f t="shared" si="49"/>
        <v>0</v>
      </c>
      <c r="AJ247" s="218"/>
      <c r="AO247" s="178">
        <f t="shared" si="57"/>
        <v>0</v>
      </c>
      <c r="AP247" s="178">
        <f t="shared" si="58"/>
        <v>0</v>
      </c>
      <c r="AQ247" s="237" t="str">
        <f t="shared" si="50"/>
        <v/>
      </c>
      <c r="BF247" s="241" t="str">
        <f t="shared" si="51"/>
        <v/>
      </c>
      <c r="BL247" s="241" t="str">
        <f t="shared" si="52"/>
        <v/>
      </c>
      <c r="BM247" s="241" t="str">
        <f t="shared" si="53"/>
        <v/>
      </c>
      <c r="BS247" s="247" t="str">
        <f t="shared" si="56"/>
        <v/>
      </c>
      <c r="BV247" s="242" t="str">
        <f t="shared" si="54"/>
        <v/>
      </c>
      <c r="BW247" s="248" t="str">
        <f t="shared" si="55"/>
        <v/>
      </c>
    </row>
    <row r="248" spans="1:75" x14ac:dyDescent="0.3">
      <c r="A248" s="169">
        <v>246</v>
      </c>
      <c r="G248" s="169" t="str">
        <f t="shared" si="48"/>
        <v xml:space="preserve">  </v>
      </c>
      <c r="AI248" s="236">
        <f t="shared" si="49"/>
        <v>0</v>
      </c>
      <c r="AJ248" s="218"/>
      <c r="AO248" s="178">
        <f t="shared" si="57"/>
        <v>0</v>
      </c>
      <c r="AP248" s="178">
        <f t="shared" si="58"/>
        <v>0</v>
      </c>
      <c r="AQ248" s="237" t="str">
        <f t="shared" si="50"/>
        <v/>
      </c>
      <c r="BF248" s="241" t="str">
        <f t="shared" si="51"/>
        <v/>
      </c>
      <c r="BL248" s="241" t="str">
        <f t="shared" si="52"/>
        <v/>
      </c>
      <c r="BM248" s="241" t="str">
        <f t="shared" si="53"/>
        <v/>
      </c>
      <c r="BS248" s="247" t="str">
        <f t="shared" si="56"/>
        <v/>
      </c>
      <c r="BV248" s="242" t="str">
        <f t="shared" si="54"/>
        <v/>
      </c>
      <c r="BW248" s="248" t="str">
        <f t="shared" si="55"/>
        <v/>
      </c>
    </row>
    <row r="249" spans="1:75" x14ac:dyDescent="0.3">
      <c r="A249" s="169">
        <v>247</v>
      </c>
      <c r="G249" s="169" t="str">
        <f t="shared" si="48"/>
        <v xml:space="preserve">  </v>
      </c>
      <c r="AI249" s="236">
        <f t="shared" si="49"/>
        <v>0</v>
      </c>
      <c r="AJ249" s="218"/>
      <c r="AO249" s="178">
        <f t="shared" si="57"/>
        <v>0</v>
      </c>
      <c r="AP249" s="178">
        <f t="shared" si="58"/>
        <v>0</v>
      </c>
      <c r="AQ249" s="237" t="str">
        <f t="shared" si="50"/>
        <v/>
      </c>
      <c r="BF249" s="241" t="str">
        <f t="shared" si="51"/>
        <v/>
      </c>
      <c r="BL249" s="241" t="str">
        <f t="shared" si="52"/>
        <v/>
      </c>
      <c r="BM249" s="241" t="str">
        <f t="shared" si="53"/>
        <v/>
      </c>
      <c r="BS249" s="247" t="str">
        <f t="shared" si="56"/>
        <v/>
      </c>
      <c r="BV249" s="242" t="str">
        <f t="shared" si="54"/>
        <v/>
      </c>
      <c r="BW249" s="248" t="str">
        <f t="shared" si="55"/>
        <v/>
      </c>
    </row>
    <row r="250" spans="1:75" x14ac:dyDescent="0.3">
      <c r="A250" s="169">
        <v>248</v>
      </c>
      <c r="G250" s="169" t="str">
        <f t="shared" si="48"/>
        <v xml:space="preserve">  </v>
      </c>
      <c r="AI250" s="236">
        <f t="shared" si="49"/>
        <v>0</v>
      </c>
      <c r="AJ250" s="218"/>
      <c r="AO250" s="178">
        <f t="shared" si="57"/>
        <v>0</v>
      </c>
      <c r="AP250" s="178">
        <f t="shared" si="58"/>
        <v>0</v>
      </c>
      <c r="AQ250" s="237" t="str">
        <f t="shared" si="50"/>
        <v/>
      </c>
      <c r="BF250" s="241" t="str">
        <f t="shared" si="51"/>
        <v/>
      </c>
      <c r="BL250" s="241" t="str">
        <f t="shared" si="52"/>
        <v/>
      </c>
      <c r="BM250" s="241" t="str">
        <f t="shared" si="53"/>
        <v/>
      </c>
      <c r="BS250" s="247" t="str">
        <f t="shared" si="56"/>
        <v/>
      </c>
      <c r="BV250" s="242" t="str">
        <f t="shared" si="54"/>
        <v/>
      </c>
      <c r="BW250" s="248" t="str">
        <f t="shared" si="55"/>
        <v/>
      </c>
    </row>
    <row r="251" spans="1:75" x14ac:dyDescent="0.3">
      <c r="A251" s="169">
        <v>249</v>
      </c>
      <c r="G251" s="169" t="str">
        <f t="shared" si="48"/>
        <v xml:space="preserve">  </v>
      </c>
      <c r="AI251" s="236">
        <f t="shared" si="49"/>
        <v>0</v>
      </c>
      <c r="AJ251" s="218"/>
      <c r="AO251" s="178">
        <f t="shared" si="57"/>
        <v>0</v>
      </c>
      <c r="AP251" s="178">
        <f t="shared" si="58"/>
        <v>0</v>
      </c>
      <c r="AQ251" s="237" t="str">
        <f t="shared" si="50"/>
        <v/>
      </c>
      <c r="BF251" s="241" t="str">
        <f t="shared" si="51"/>
        <v/>
      </c>
      <c r="BL251" s="241" t="str">
        <f t="shared" si="52"/>
        <v/>
      </c>
      <c r="BM251" s="241" t="str">
        <f t="shared" si="53"/>
        <v/>
      </c>
      <c r="BS251" s="247" t="str">
        <f t="shared" si="56"/>
        <v/>
      </c>
      <c r="BV251" s="242" t="str">
        <f t="shared" si="54"/>
        <v/>
      </c>
      <c r="BW251" s="248" t="str">
        <f t="shared" si="55"/>
        <v/>
      </c>
    </row>
    <row r="252" spans="1:75" x14ac:dyDescent="0.3">
      <c r="A252" s="169">
        <v>250</v>
      </c>
      <c r="G252" s="169" t="str">
        <f t="shared" si="48"/>
        <v xml:space="preserve">  </v>
      </c>
      <c r="AI252" s="236">
        <f t="shared" si="49"/>
        <v>0</v>
      </c>
      <c r="AJ252" s="218"/>
      <c r="AO252" s="178">
        <f t="shared" si="57"/>
        <v>0</v>
      </c>
      <c r="AP252" s="178">
        <f t="shared" si="58"/>
        <v>0</v>
      </c>
      <c r="AQ252" s="237" t="str">
        <f t="shared" si="50"/>
        <v/>
      </c>
      <c r="BF252" s="241" t="str">
        <f t="shared" si="51"/>
        <v/>
      </c>
      <c r="BL252" s="241" t="str">
        <f t="shared" si="52"/>
        <v/>
      </c>
      <c r="BM252" s="241" t="str">
        <f t="shared" si="53"/>
        <v/>
      </c>
      <c r="BS252" s="247" t="str">
        <f t="shared" si="56"/>
        <v/>
      </c>
      <c r="BV252" s="242" t="str">
        <f t="shared" si="54"/>
        <v/>
      </c>
      <c r="BW252" s="248" t="str">
        <f t="shared" si="55"/>
        <v/>
      </c>
    </row>
    <row r="253" spans="1:75" x14ac:dyDescent="0.3">
      <c r="A253" s="169">
        <v>251</v>
      </c>
      <c r="G253" s="169" t="str">
        <f t="shared" si="48"/>
        <v xml:space="preserve">  </v>
      </c>
      <c r="AI253" s="236">
        <f t="shared" si="49"/>
        <v>0</v>
      </c>
      <c r="AJ253" s="218"/>
      <c r="AO253" s="178">
        <f t="shared" si="57"/>
        <v>0</v>
      </c>
      <c r="AP253" s="178">
        <f t="shared" si="58"/>
        <v>0</v>
      </c>
      <c r="AQ253" s="237" t="str">
        <f t="shared" si="50"/>
        <v/>
      </c>
      <c r="BF253" s="241" t="str">
        <f t="shared" si="51"/>
        <v/>
      </c>
      <c r="BL253" s="241" t="str">
        <f t="shared" si="52"/>
        <v/>
      </c>
      <c r="BM253" s="241" t="str">
        <f t="shared" si="53"/>
        <v/>
      </c>
      <c r="BS253" s="247" t="str">
        <f t="shared" si="56"/>
        <v/>
      </c>
      <c r="BV253" s="242" t="str">
        <f t="shared" si="54"/>
        <v/>
      </c>
      <c r="BW253" s="248" t="str">
        <f t="shared" si="55"/>
        <v/>
      </c>
    </row>
    <row r="254" spans="1:75" x14ac:dyDescent="0.3">
      <c r="A254" s="169">
        <v>252</v>
      </c>
      <c r="G254" s="169" t="str">
        <f t="shared" si="48"/>
        <v xml:space="preserve">  </v>
      </c>
      <c r="AI254" s="236">
        <f t="shared" si="49"/>
        <v>0</v>
      </c>
      <c r="AJ254" s="218"/>
      <c r="AO254" s="178">
        <f t="shared" si="57"/>
        <v>0</v>
      </c>
      <c r="AP254" s="178">
        <f t="shared" si="58"/>
        <v>0</v>
      </c>
      <c r="AQ254" s="237" t="str">
        <f t="shared" si="50"/>
        <v/>
      </c>
      <c r="BF254" s="241" t="str">
        <f t="shared" si="51"/>
        <v/>
      </c>
      <c r="BL254" s="241" t="str">
        <f t="shared" si="52"/>
        <v/>
      </c>
      <c r="BM254" s="241" t="str">
        <f t="shared" si="53"/>
        <v/>
      </c>
      <c r="BS254" s="247" t="str">
        <f t="shared" si="56"/>
        <v/>
      </c>
      <c r="BV254" s="242" t="str">
        <f t="shared" si="54"/>
        <v/>
      </c>
      <c r="BW254" s="248" t="str">
        <f t="shared" si="55"/>
        <v/>
      </c>
    </row>
    <row r="255" spans="1:75" x14ac:dyDescent="0.3">
      <c r="A255" s="169">
        <v>253</v>
      </c>
      <c r="G255" s="169" t="str">
        <f t="shared" si="48"/>
        <v xml:space="preserve">  </v>
      </c>
      <c r="AI255" s="236">
        <f t="shared" si="49"/>
        <v>0</v>
      </c>
      <c r="AJ255" s="218"/>
      <c r="AO255" s="178">
        <f t="shared" si="57"/>
        <v>0</v>
      </c>
      <c r="AP255" s="178">
        <f t="shared" si="58"/>
        <v>0</v>
      </c>
      <c r="AQ255" s="237" t="str">
        <f t="shared" si="50"/>
        <v/>
      </c>
      <c r="BF255" s="241" t="str">
        <f t="shared" si="51"/>
        <v/>
      </c>
      <c r="BL255" s="241" t="str">
        <f t="shared" si="52"/>
        <v/>
      </c>
      <c r="BM255" s="241" t="str">
        <f t="shared" si="53"/>
        <v/>
      </c>
      <c r="BS255" s="247" t="str">
        <f t="shared" si="56"/>
        <v/>
      </c>
      <c r="BV255" s="242" t="str">
        <f t="shared" si="54"/>
        <v/>
      </c>
      <c r="BW255" s="248" t="str">
        <f t="shared" si="55"/>
        <v/>
      </c>
    </row>
    <row r="256" spans="1:75" x14ac:dyDescent="0.3">
      <c r="A256" s="169">
        <v>254</v>
      </c>
      <c r="G256" s="169" t="str">
        <f t="shared" si="48"/>
        <v xml:space="preserve">  </v>
      </c>
      <c r="AI256" s="236">
        <f t="shared" si="49"/>
        <v>0</v>
      </c>
      <c r="AJ256" s="218"/>
      <c r="AO256" s="178">
        <f t="shared" si="57"/>
        <v>0</v>
      </c>
      <c r="AP256" s="178">
        <f t="shared" si="58"/>
        <v>0</v>
      </c>
      <c r="AQ256" s="237" t="str">
        <f t="shared" si="50"/>
        <v/>
      </c>
      <c r="BF256" s="241" t="str">
        <f t="shared" si="51"/>
        <v/>
      </c>
      <c r="BL256" s="241" t="str">
        <f t="shared" si="52"/>
        <v/>
      </c>
      <c r="BM256" s="241" t="str">
        <f t="shared" si="53"/>
        <v/>
      </c>
      <c r="BS256" s="247" t="str">
        <f t="shared" si="56"/>
        <v/>
      </c>
      <c r="BV256" s="242" t="str">
        <f t="shared" si="54"/>
        <v/>
      </c>
      <c r="BW256" s="248" t="str">
        <f t="shared" si="55"/>
        <v/>
      </c>
    </row>
    <row r="257" spans="1:75" x14ac:dyDescent="0.3">
      <c r="A257" s="169">
        <v>255</v>
      </c>
      <c r="G257" s="169" t="str">
        <f t="shared" si="48"/>
        <v xml:space="preserve">  </v>
      </c>
      <c r="AI257" s="236">
        <f t="shared" si="49"/>
        <v>0</v>
      </c>
      <c r="AJ257" s="218"/>
      <c r="AO257" s="178">
        <f t="shared" si="57"/>
        <v>0</v>
      </c>
      <c r="AP257" s="178">
        <f t="shared" si="58"/>
        <v>0</v>
      </c>
      <c r="AQ257" s="237" t="str">
        <f t="shared" si="50"/>
        <v/>
      </c>
      <c r="BF257" s="241" t="str">
        <f t="shared" si="51"/>
        <v/>
      </c>
      <c r="BL257" s="241" t="str">
        <f t="shared" si="52"/>
        <v/>
      </c>
      <c r="BM257" s="241" t="str">
        <f t="shared" si="53"/>
        <v/>
      </c>
      <c r="BS257" s="247" t="str">
        <f t="shared" si="56"/>
        <v/>
      </c>
      <c r="BV257" s="242" t="str">
        <f t="shared" si="54"/>
        <v/>
      </c>
      <c r="BW257" s="248" t="str">
        <f t="shared" si="55"/>
        <v/>
      </c>
    </row>
    <row r="258" spans="1:75" x14ac:dyDescent="0.3">
      <c r="A258" s="169">
        <v>256</v>
      </c>
      <c r="G258" s="169" t="str">
        <f t="shared" si="48"/>
        <v xml:space="preserve">  </v>
      </c>
      <c r="AI258" s="236">
        <f t="shared" si="49"/>
        <v>0</v>
      </c>
      <c r="AJ258" s="218"/>
      <c r="AO258" s="178">
        <f t="shared" si="57"/>
        <v>0</v>
      </c>
      <c r="AP258" s="178">
        <f t="shared" si="58"/>
        <v>0</v>
      </c>
      <c r="AQ258" s="237" t="str">
        <f t="shared" si="50"/>
        <v/>
      </c>
      <c r="BF258" s="241" t="str">
        <f t="shared" si="51"/>
        <v/>
      </c>
      <c r="BL258" s="241" t="str">
        <f t="shared" si="52"/>
        <v/>
      </c>
      <c r="BM258" s="241" t="str">
        <f t="shared" si="53"/>
        <v/>
      </c>
      <c r="BS258" s="247" t="str">
        <f t="shared" si="56"/>
        <v/>
      </c>
      <c r="BV258" s="242" t="str">
        <f t="shared" si="54"/>
        <v/>
      </c>
      <c r="BW258" s="248" t="str">
        <f t="shared" si="55"/>
        <v/>
      </c>
    </row>
    <row r="259" spans="1:75" x14ac:dyDescent="0.3">
      <c r="A259" s="169">
        <v>257</v>
      </c>
      <c r="G259" s="169" t="str">
        <f t="shared" ref="G259:G322" si="59">CONCATENATE(D259," ",E259," ",F259)</f>
        <v xml:space="preserve">  </v>
      </c>
      <c r="AI259" s="236">
        <f t="shared" si="49"/>
        <v>0</v>
      </c>
      <c r="AJ259" s="218"/>
      <c r="AO259" s="178">
        <f t="shared" si="57"/>
        <v>0</v>
      </c>
      <c r="AP259" s="178">
        <f t="shared" si="58"/>
        <v>0</v>
      </c>
      <c r="AQ259" s="237" t="str">
        <f t="shared" si="50"/>
        <v/>
      </c>
      <c r="BF259" s="241" t="str">
        <f t="shared" si="51"/>
        <v/>
      </c>
      <c r="BL259" s="241" t="str">
        <f t="shared" si="52"/>
        <v/>
      </c>
      <c r="BM259" s="241" t="str">
        <f t="shared" si="53"/>
        <v/>
      </c>
      <c r="BS259" s="247" t="str">
        <f t="shared" si="56"/>
        <v/>
      </c>
      <c r="BV259" s="242" t="str">
        <f t="shared" si="54"/>
        <v/>
      </c>
      <c r="BW259" s="248" t="str">
        <f t="shared" si="55"/>
        <v/>
      </c>
    </row>
    <row r="260" spans="1:75" x14ac:dyDescent="0.3">
      <c r="A260" s="169">
        <v>258</v>
      </c>
      <c r="G260" s="169" t="str">
        <f t="shared" si="59"/>
        <v xml:space="preserve">  </v>
      </c>
      <c r="AI260" s="236">
        <f t="shared" ref="AI260:AI301" si="60">SUM(AA260:AH260)</f>
        <v>0</v>
      </c>
      <c r="AJ260" s="218"/>
      <c r="AO260" s="178">
        <f t="shared" si="57"/>
        <v>0</v>
      </c>
      <c r="AP260" s="178">
        <f t="shared" si="58"/>
        <v>0</v>
      </c>
      <c r="AQ260" s="237" t="str">
        <f t="shared" ref="AQ260:AQ301" si="61">IF(AN260="","",AP260/2)</f>
        <v/>
      </c>
      <c r="BF260" s="241" t="str">
        <f t="shared" ref="BF260:BF323" si="62">IF(BE260="","",BE260/2.14)</f>
        <v/>
      </c>
      <c r="BL260" s="241" t="str">
        <f t="shared" ref="BL260:BL302" si="63">IF(BK260="","",IF(AND(BJ260&gt;400,BK260&gt;1),"No Procede",IF(BK260&lt;1,"",BI260-BK260-(BJ260/5))))</f>
        <v/>
      </c>
      <c r="BM260" s="241" t="str">
        <f t="shared" ref="BM260:BM323" si="64">IF(BK260="","",IF(AND(BJ260&gt;400,BK260&gt;1),"NO PROCEDE",IF(BK260="","",BJ260/5)))</f>
        <v/>
      </c>
      <c r="BS260" s="247" t="str">
        <f t="shared" si="56"/>
        <v/>
      </c>
      <c r="BV260" s="242" t="str">
        <f t="shared" ref="BV260:BV301" si="65">IF(OR(BT260="",BU260=""),"",ROUND(BT260-BU260,1))</f>
        <v/>
      </c>
      <c r="BW260" s="248" t="str">
        <f t="shared" ref="BW260:BW301" si="66">IF(OR(BT260="",BU260=""),"",ROUND(BU260/BV260,1))</f>
        <v/>
      </c>
    </row>
    <row r="261" spans="1:75" x14ac:dyDescent="0.3">
      <c r="A261" s="169">
        <v>259</v>
      </c>
      <c r="G261" s="169" t="str">
        <f t="shared" si="59"/>
        <v xml:space="preserve">  </v>
      </c>
      <c r="AI261" s="236">
        <f t="shared" si="60"/>
        <v>0</v>
      </c>
      <c r="AJ261" s="218"/>
      <c r="AO261" s="178">
        <f t="shared" si="57"/>
        <v>0</v>
      </c>
      <c r="AP261" s="178">
        <f t="shared" si="58"/>
        <v>0</v>
      </c>
      <c r="AQ261" s="237" t="str">
        <f t="shared" si="61"/>
        <v/>
      </c>
      <c r="BF261" s="241" t="str">
        <f t="shared" si="62"/>
        <v/>
      </c>
      <c r="BL261" s="241" t="str">
        <f t="shared" si="63"/>
        <v/>
      </c>
      <c r="BM261" s="241" t="str">
        <f t="shared" si="64"/>
        <v/>
      </c>
      <c r="BS261" s="247" t="str">
        <f t="shared" ref="BS261:BS324" si="67">IF(BQ261="","",SUM(BQ261:BR261))</f>
        <v/>
      </c>
      <c r="BV261" s="242" t="str">
        <f t="shared" si="65"/>
        <v/>
      </c>
      <c r="BW261" s="248" t="str">
        <f t="shared" si="66"/>
        <v/>
      </c>
    </row>
    <row r="262" spans="1:75" x14ac:dyDescent="0.3">
      <c r="A262" s="169">
        <v>260</v>
      </c>
      <c r="G262" s="169" t="str">
        <f t="shared" si="59"/>
        <v xml:space="preserve">  </v>
      </c>
      <c r="AI262" s="236">
        <f t="shared" si="60"/>
        <v>0</v>
      </c>
      <c r="AJ262" s="218"/>
      <c r="AO262" s="178">
        <f t="shared" si="57"/>
        <v>0</v>
      </c>
      <c r="AP262" s="178">
        <f t="shared" si="58"/>
        <v>0</v>
      </c>
      <c r="AQ262" s="237" t="str">
        <f t="shared" si="61"/>
        <v/>
      </c>
      <c r="BF262" s="241" t="str">
        <f t="shared" si="62"/>
        <v/>
      </c>
      <c r="BL262" s="241" t="str">
        <f t="shared" si="63"/>
        <v/>
      </c>
      <c r="BM262" s="241" t="str">
        <f t="shared" si="64"/>
        <v/>
      </c>
      <c r="BS262" s="247" t="str">
        <f t="shared" si="67"/>
        <v/>
      </c>
      <c r="BV262" s="242" t="str">
        <f t="shared" si="65"/>
        <v/>
      </c>
      <c r="BW262" s="248" t="str">
        <f t="shared" si="66"/>
        <v/>
      </c>
    </row>
    <row r="263" spans="1:75" x14ac:dyDescent="0.3">
      <c r="A263" s="169">
        <v>261</v>
      </c>
      <c r="G263" s="169" t="str">
        <f t="shared" si="59"/>
        <v xml:space="preserve">  </v>
      </c>
      <c r="AI263" s="236">
        <f t="shared" si="60"/>
        <v>0</v>
      </c>
      <c r="AJ263" s="218"/>
      <c r="AO263" s="178">
        <f t="shared" si="57"/>
        <v>0</v>
      </c>
      <c r="AP263" s="178">
        <f t="shared" si="58"/>
        <v>0</v>
      </c>
      <c r="AQ263" s="237" t="str">
        <f t="shared" si="61"/>
        <v/>
      </c>
      <c r="BF263" s="241" t="str">
        <f t="shared" si="62"/>
        <v/>
      </c>
      <c r="BL263" s="241" t="str">
        <f t="shared" si="63"/>
        <v/>
      </c>
      <c r="BM263" s="241" t="str">
        <f t="shared" si="64"/>
        <v/>
      </c>
      <c r="BS263" s="247" t="str">
        <f t="shared" si="67"/>
        <v/>
      </c>
      <c r="BV263" s="242" t="str">
        <f t="shared" si="65"/>
        <v/>
      </c>
      <c r="BW263" s="248" t="str">
        <f t="shared" si="66"/>
        <v/>
      </c>
    </row>
    <row r="264" spans="1:75" x14ac:dyDescent="0.3">
      <c r="A264" s="169">
        <v>262</v>
      </c>
      <c r="G264" s="169" t="str">
        <f t="shared" si="59"/>
        <v xml:space="preserve">  </v>
      </c>
      <c r="AI264" s="236">
        <f t="shared" si="60"/>
        <v>0</v>
      </c>
      <c r="AJ264" s="218"/>
      <c r="AO264" s="178">
        <f t="shared" si="57"/>
        <v>0</v>
      </c>
      <c r="AP264" s="178">
        <f t="shared" si="58"/>
        <v>0</v>
      </c>
      <c r="AQ264" s="237" t="str">
        <f t="shared" si="61"/>
        <v/>
      </c>
      <c r="BF264" s="241" t="str">
        <f t="shared" si="62"/>
        <v/>
      </c>
      <c r="BL264" s="241" t="str">
        <f t="shared" si="63"/>
        <v/>
      </c>
      <c r="BM264" s="241" t="str">
        <f t="shared" si="64"/>
        <v/>
      </c>
      <c r="BS264" s="247" t="str">
        <f t="shared" si="67"/>
        <v/>
      </c>
      <c r="BV264" s="242" t="str">
        <f t="shared" si="65"/>
        <v/>
      </c>
      <c r="BW264" s="248" t="str">
        <f t="shared" si="66"/>
        <v/>
      </c>
    </row>
    <row r="265" spans="1:75" x14ac:dyDescent="0.3">
      <c r="A265" s="169">
        <v>263</v>
      </c>
      <c r="G265" s="169" t="str">
        <f t="shared" si="59"/>
        <v xml:space="preserve">  </v>
      </c>
      <c r="AI265" s="236">
        <f t="shared" si="60"/>
        <v>0</v>
      </c>
      <c r="AJ265" s="218"/>
      <c r="AO265" s="178">
        <f t="shared" si="57"/>
        <v>0</v>
      </c>
      <c r="AP265" s="178">
        <f t="shared" si="58"/>
        <v>0</v>
      </c>
      <c r="AQ265" s="237" t="str">
        <f t="shared" si="61"/>
        <v/>
      </c>
      <c r="BF265" s="241" t="str">
        <f t="shared" si="62"/>
        <v/>
      </c>
      <c r="BL265" s="241" t="str">
        <f t="shared" si="63"/>
        <v/>
      </c>
      <c r="BM265" s="241" t="str">
        <f t="shared" si="64"/>
        <v/>
      </c>
      <c r="BS265" s="247" t="str">
        <f t="shared" si="67"/>
        <v/>
      </c>
      <c r="BV265" s="242" t="str">
        <f t="shared" si="65"/>
        <v/>
      </c>
      <c r="BW265" s="248" t="str">
        <f t="shared" si="66"/>
        <v/>
      </c>
    </row>
    <row r="266" spans="1:75" x14ac:dyDescent="0.3">
      <c r="A266" s="169">
        <v>264</v>
      </c>
      <c r="G266" s="169" t="str">
        <f t="shared" si="59"/>
        <v xml:space="preserve">  </v>
      </c>
      <c r="AI266" s="236">
        <f t="shared" si="60"/>
        <v>0</v>
      </c>
      <c r="AJ266" s="218"/>
      <c r="AO266" s="178">
        <f t="shared" si="57"/>
        <v>0</v>
      </c>
      <c r="AP266" s="178">
        <f t="shared" si="58"/>
        <v>0</v>
      </c>
      <c r="AQ266" s="237" t="str">
        <f t="shared" si="61"/>
        <v/>
      </c>
      <c r="BF266" s="241" t="str">
        <f t="shared" si="62"/>
        <v/>
      </c>
      <c r="BL266" s="241" t="str">
        <f t="shared" si="63"/>
        <v/>
      </c>
      <c r="BM266" s="241" t="str">
        <f t="shared" si="64"/>
        <v/>
      </c>
      <c r="BS266" s="247" t="str">
        <f t="shared" si="67"/>
        <v/>
      </c>
      <c r="BV266" s="242" t="str">
        <f t="shared" si="65"/>
        <v/>
      </c>
      <c r="BW266" s="248" t="str">
        <f t="shared" si="66"/>
        <v/>
      </c>
    </row>
    <row r="267" spans="1:75" x14ac:dyDescent="0.3">
      <c r="A267" s="169">
        <v>265</v>
      </c>
      <c r="G267" s="169" t="str">
        <f t="shared" si="59"/>
        <v xml:space="preserve">  </v>
      </c>
      <c r="AI267" s="236">
        <f t="shared" si="60"/>
        <v>0</v>
      </c>
      <c r="AJ267" s="218"/>
      <c r="AO267" s="178">
        <f t="shared" si="57"/>
        <v>0</v>
      </c>
      <c r="AP267" s="178">
        <f t="shared" si="58"/>
        <v>0</v>
      </c>
      <c r="AQ267" s="237" t="str">
        <f t="shared" si="61"/>
        <v/>
      </c>
      <c r="BF267" s="241" t="str">
        <f t="shared" si="62"/>
        <v/>
      </c>
      <c r="BL267" s="241" t="str">
        <f t="shared" si="63"/>
        <v/>
      </c>
      <c r="BM267" s="241" t="str">
        <f t="shared" si="64"/>
        <v/>
      </c>
      <c r="BS267" s="247" t="str">
        <f t="shared" si="67"/>
        <v/>
      </c>
      <c r="BV267" s="242" t="str">
        <f t="shared" si="65"/>
        <v/>
      </c>
      <c r="BW267" s="248" t="str">
        <f t="shared" si="66"/>
        <v/>
      </c>
    </row>
    <row r="268" spans="1:75" x14ac:dyDescent="0.3">
      <c r="A268" s="169">
        <v>266</v>
      </c>
      <c r="G268" s="169" t="str">
        <f t="shared" si="59"/>
        <v xml:space="preserve">  </v>
      </c>
      <c r="AI268" s="236">
        <f t="shared" si="60"/>
        <v>0</v>
      </c>
      <c r="AJ268" s="218"/>
      <c r="AO268" s="178">
        <f t="shared" si="57"/>
        <v>0</v>
      </c>
      <c r="AP268" s="178">
        <f t="shared" si="58"/>
        <v>0</v>
      </c>
      <c r="AQ268" s="237" t="str">
        <f t="shared" si="61"/>
        <v/>
      </c>
      <c r="BF268" s="241" t="str">
        <f t="shared" si="62"/>
        <v/>
      </c>
      <c r="BL268" s="241" t="str">
        <f t="shared" si="63"/>
        <v/>
      </c>
      <c r="BM268" s="241" t="str">
        <f t="shared" si="64"/>
        <v/>
      </c>
      <c r="BS268" s="247" t="str">
        <f t="shared" si="67"/>
        <v/>
      </c>
      <c r="BV268" s="242" t="str">
        <f t="shared" si="65"/>
        <v/>
      </c>
      <c r="BW268" s="248" t="str">
        <f t="shared" si="66"/>
        <v/>
      </c>
    </row>
    <row r="269" spans="1:75" x14ac:dyDescent="0.3">
      <c r="A269" s="169">
        <v>267</v>
      </c>
      <c r="G269" s="169" t="str">
        <f t="shared" si="59"/>
        <v xml:space="preserve">  </v>
      </c>
      <c r="AI269" s="236">
        <f t="shared" si="60"/>
        <v>0</v>
      </c>
      <c r="AJ269" s="218"/>
      <c r="AO269" s="178">
        <f t="shared" si="57"/>
        <v>0</v>
      </c>
      <c r="AP269" s="178">
        <f t="shared" si="58"/>
        <v>0</v>
      </c>
      <c r="AQ269" s="237" t="str">
        <f t="shared" si="61"/>
        <v/>
      </c>
      <c r="BF269" s="241" t="str">
        <f t="shared" si="62"/>
        <v/>
      </c>
      <c r="BL269" s="241" t="str">
        <f t="shared" si="63"/>
        <v/>
      </c>
      <c r="BM269" s="241" t="str">
        <f t="shared" si="64"/>
        <v/>
      </c>
      <c r="BS269" s="247" t="str">
        <f t="shared" si="67"/>
        <v/>
      </c>
      <c r="BV269" s="242" t="str">
        <f t="shared" si="65"/>
        <v/>
      </c>
      <c r="BW269" s="248" t="str">
        <f t="shared" si="66"/>
        <v/>
      </c>
    </row>
    <row r="270" spans="1:75" x14ac:dyDescent="0.3">
      <c r="A270" s="169">
        <v>268</v>
      </c>
      <c r="G270" s="169" t="str">
        <f t="shared" si="59"/>
        <v xml:space="preserve">  </v>
      </c>
      <c r="AI270" s="236">
        <f t="shared" si="60"/>
        <v>0</v>
      </c>
      <c r="AJ270" s="218"/>
      <c r="AO270" s="178">
        <f t="shared" si="57"/>
        <v>0</v>
      </c>
      <c r="AP270" s="178">
        <f t="shared" si="58"/>
        <v>0</v>
      </c>
      <c r="AQ270" s="237" t="str">
        <f t="shared" si="61"/>
        <v/>
      </c>
      <c r="BF270" s="241" t="str">
        <f t="shared" si="62"/>
        <v/>
      </c>
      <c r="BL270" s="241" t="str">
        <f t="shared" si="63"/>
        <v/>
      </c>
      <c r="BM270" s="241" t="str">
        <f t="shared" si="64"/>
        <v/>
      </c>
      <c r="BS270" s="247" t="str">
        <f t="shared" si="67"/>
        <v/>
      </c>
      <c r="BV270" s="242" t="str">
        <f t="shared" si="65"/>
        <v/>
      </c>
      <c r="BW270" s="248" t="str">
        <f t="shared" si="66"/>
        <v/>
      </c>
    </row>
    <row r="271" spans="1:75" x14ac:dyDescent="0.3">
      <c r="A271" s="169">
        <v>269</v>
      </c>
      <c r="G271" s="169" t="str">
        <f t="shared" si="59"/>
        <v xml:space="preserve">  </v>
      </c>
      <c r="AI271" s="236">
        <f t="shared" si="60"/>
        <v>0</v>
      </c>
      <c r="AJ271" s="218"/>
      <c r="AO271" s="178">
        <f t="shared" si="57"/>
        <v>0</v>
      </c>
      <c r="AP271" s="178">
        <f t="shared" si="58"/>
        <v>0</v>
      </c>
      <c r="AQ271" s="237" t="str">
        <f t="shared" si="61"/>
        <v/>
      </c>
      <c r="BF271" s="241" t="str">
        <f t="shared" si="62"/>
        <v/>
      </c>
      <c r="BL271" s="241" t="str">
        <f t="shared" si="63"/>
        <v/>
      </c>
      <c r="BM271" s="241" t="str">
        <f t="shared" si="64"/>
        <v/>
      </c>
      <c r="BS271" s="247" t="str">
        <f t="shared" si="67"/>
        <v/>
      </c>
      <c r="BV271" s="242" t="str">
        <f t="shared" si="65"/>
        <v/>
      </c>
      <c r="BW271" s="248" t="str">
        <f t="shared" si="66"/>
        <v/>
      </c>
    </row>
    <row r="272" spans="1:75" x14ac:dyDescent="0.3">
      <c r="A272" s="169">
        <v>270</v>
      </c>
      <c r="G272" s="169" t="str">
        <f t="shared" si="59"/>
        <v xml:space="preserve">  </v>
      </c>
      <c r="AI272" s="236">
        <f t="shared" si="60"/>
        <v>0</v>
      </c>
      <c r="AJ272" s="218"/>
      <c r="AO272" s="178">
        <f t="shared" si="57"/>
        <v>0</v>
      </c>
      <c r="AP272" s="178">
        <f t="shared" si="58"/>
        <v>0</v>
      </c>
      <c r="AQ272" s="237" t="str">
        <f t="shared" si="61"/>
        <v/>
      </c>
      <c r="BF272" s="241" t="str">
        <f t="shared" si="62"/>
        <v/>
      </c>
      <c r="BL272" s="241" t="str">
        <f t="shared" si="63"/>
        <v/>
      </c>
      <c r="BM272" s="241" t="str">
        <f t="shared" si="64"/>
        <v/>
      </c>
      <c r="BS272" s="247" t="str">
        <f t="shared" si="67"/>
        <v/>
      </c>
      <c r="BV272" s="242" t="str">
        <f t="shared" si="65"/>
        <v/>
      </c>
      <c r="BW272" s="248" t="str">
        <f t="shared" si="66"/>
        <v/>
      </c>
    </row>
    <row r="273" spans="1:75" x14ac:dyDescent="0.3">
      <c r="A273" s="169">
        <v>271</v>
      </c>
      <c r="G273" s="169" t="str">
        <f t="shared" si="59"/>
        <v xml:space="preserve">  </v>
      </c>
      <c r="AI273" s="236">
        <f t="shared" si="60"/>
        <v>0</v>
      </c>
      <c r="AJ273" s="218"/>
      <c r="AO273" s="178">
        <f t="shared" si="57"/>
        <v>0</v>
      </c>
      <c r="AP273" s="178">
        <f t="shared" si="58"/>
        <v>0</v>
      </c>
      <c r="AQ273" s="237" t="str">
        <f t="shared" si="61"/>
        <v/>
      </c>
      <c r="BF273" s="241" t="str">
        <f t="shared" si="62"/>
        <v/>
      </c>
      <c r="BL273" s="241" t="str">
        <f t="shared" si="63"/>
        <v/>
      </c>
      <c r="BM273" s="241" t="str">
        <f t="shared" si="64"/>
        <v/>
      </c>
      <c r="BS273" s="247" t="str">
        <f t="shared" si="67"/>
        <v/>
      </c>
      <c r="BV273" s="242" t="str">
        <f t="shared" si="65"/>
        <v/>
      </c>
      <c r="BW273" s="248" t="str">
        <f t="shared" si="66"/>
        <v/>
      </c>
    </row>
    <row r="274" spans="1:75" x14ac:dyDescent="0.3">
      <c r="A274" s="169">
        <v>272</v>
      </c>
      <c r="G274" s="169" t="str">
        <f t="shared" si="59"/>
        <v xml:space="preserve">  </v>
      </c>
      <c r="AI274" s="236">
        <f t="shared" si="60"/>
        <v>0</v>
      </c>
      <c r="AJ274" s="218"/>
      <c r="AO274" s="178">
        <f t="shared" ref="AO274:AO301" si="68">AN274/2</f>
        <v>0</v>
      </c>
      <c r="AP274" s="178">
        <f t="shared" ref="AP274:AP301" si="69">AM274+AO274</f>
        <v>0</v>
      </c>
      <c r="AQ274" s="237" t="str">
        <f t="shared" si="61"/>
        <v/>
      </c>
      <c r="BF274" s="241" t="str">
        <f t="shared" si="62"/>
        <v/>
      </c>
      <c r="BL274" s="241" t="str">
        <f t="shared" si="63"/>
        <v/>
      </c>
      <c r="BM274" s="241" t="str">
        <f t="shared" si="64"/>
        <v/>
      </c>
      <c r="BS274" s="247" t="str">
        <f t="shared" si="67"/>
        <v/>
      </c>
      <c r="BV274" s="242" t="str">
        <f t="shared" si="65"/>
        <v/>
      </c>
      <c r="BW274" s="248" t="str">
        <f t="shared" si="66"/>
        <v/>
      </c>
    </row>
    <row r="275" spans="1:75" x14ac:dyDescent="0.3">
      <c r="A275" s="169">
        <v>273</v>
      </c>
      <c r="G275" s="169" t="str">
        <f t="shared" si="59"/>
        <v xml:space="preserve">  </v>
      </c>
      <c r="AI275" s="236">
        <f t="shared" si="60"/>
        <v>0</v>
      </c>
      <c r="AJ275" s="218"/>
      <c r="AO275" s="178">
        <f t="shared" si="68"/>
        <v>0</v>
      </c>
      <c r="AP275" s="178">
        <f t="shared" si="69"/>
        <v>0</v>
      </c>
      <c r="AQ275" s="237" t="str">
        <f t="shared" si="61"/>
        <v/>
      </c>
      <c r="BF275" s="241" t="str">
        <f t="shared" si="62"/>
        <v/>
      </c>
      <c r="BL275" s="241" t="str">
        <f t="shared" si="63"/>
        <v/>
      </c>
      <c r="BM275" s="241" t="str">
        <f t="shared" si="64"/>
        <v/>
      </c>
      <c r="BS275" s="247" t="str">
        <f t="shared" si="67"/>
        <v/>
      </c>
      <c r="BV275" s="242" t="str">
        <f t="shared" si="65"/>
        <v/>
      </c>
      <c r="BW275" s="248" t="str">
        <f t="shared" si="66"/>
        <v/>
      </c>
    </row>
    <row r="276" spans="1:75" x14ac:dyDescent="0.3">
      <c r="A276" s="169">
        <v>274</v>
      </c>
      <c r="G276" s="169" t="str">
        <f t="shared" si="59"/>
        <v xml:space="preserve">  </v>
      </c>
      <c r="AI276" s="236">
        <f t="shared" si="60"/>
        <v>0</v>
      </c>
      <c r="AJ276" s="218"/>
      <c r="AO276" s="178">
        <f t="shared" si="68"/>
        <v>0</v>
      </c>
      <c r="AP276" s="178">
        <f t="shared" si="69"/>
        <v>0</v>
      </c>
      <c r="AQ276" s="237" t="str">
        <f t="shared" si="61"/>
        <v/>
      </c>
      <c r="BF276" s="241" t="str">
        <f t="shared" si="62"/>
        <v/>
      </c>
      <c r="BL276" s="241" t="str">
        <f t="shared" si="63"/>
        <v/>
      </c>
      <c r="BM276" s="241" t="str">
        <f t="shared" si="64"/>
        <v/>
      </c>
      <c r="BS276" s="247" t="str">
        <f t="shared" si="67"/>
        <v/>
      </c>
      <c r="BV276" s="242" t="str">
        <f t="shared" si="65"/>
        <v/>
      </c>
      <c r="BW276" s="248" t="str">
        <f t="shared" si="66"/>
        <v/>
      </c>
    </row>
    <row r="277" spans="1:75" x14ac:dyDescent="0.3">
      <c r="A277" s="169">
        <v>275</v>
      </c>
      <c r="G277" s="169" t="str">
        <f t="shared" si="59"/>
        <v xml:space="preserve">  </v>
      </c>
      <c r="AI277" s="236">
        <f t="shared" si="60"/>
        <v>0</v>
      </c>
      <c r="AJ277" s="218"/>
      <c r="AO277" s="178">
        <f t="shared" si="68"/>
        <v>0</v>
      </c>
      <c r="AP277" s="178">
        <f t="shared" si="69"/>
        <v>0</v>
      </c>
      <c r="AQ277" s="237" t="str">
        <f t="shared" si="61"/>
        <v/>
      </c>
      <c r="BF277" s="241" t="str">
        <f t="shared" si="62"/>
        <v/>
      </c>
      <c r="BL277" s="241" t="str">
        <f t="shared" si="63"/>
        <v/>
      </c>
      <c r="BM277" s="241" t="str">
        <f t="shared" si="64"/>
        <v/>
      </c>
      <c r="BS277" s="247" t="str">
        <f t="shared" si="67"/>
        <v/>
      </c>
      <c r="BV277" s="242" t="str">
        <f t="shared" si="65"/>
        <v/>
      </c>
      <c r="BW277" s="248" t="str">
        <f t="shared" si="66"/>
        <v/>
      </c>
    </row>
    <row r="278" spans="1:75" x14ac:dyDescent="0.3">
      <c r="A278" s="169">
        <v>276</v>
      </c>
      <c r="G278" s="169" t="str">
        <f t="shared" si="59"/>
        <v xml:space="preserve">  </v>
      </c>
      <c r="AI278" s="236">
        <f t="shared" si="60"/>
        <v>0</v>
      </c>
      <c r="AJ278" s="218"/>
      <c r="AO278" s="178">
        <f t="shared" si="68"/>
        <v>0</v>
      </c>
      <c r="AP278" s="178">
        <f t="shared" si="69"/>
        <v>0</v>
      </c>
      <c r="AQ278" s="237" t="str">
        <f t="shared" si="61"/>
        <v/>
      </c>
      <c r="BF278" s="241" t="str">
        <f t="shared" si="62"/>
        <v/>
      </c>
      <c r="BL278" s="241" t="str">
        <f t="shared" si="63"/>
        <v/>
      </c>
      <c r="BM278" s="241" t="str">
        <f t="shared" si="64"/>
        <v/>
      </c>
      <c r="BS278" s="247" t="str">
        <f t="shared" si="67"/>
        <v/>
      </c>
      <c r="BV278" s="242" t="str">
        <f t="shared" si="65"/>
        <v/>
      </c>
      <c r="BW278" s="248" t="str">
        <f t="shared" si="66"/>
        <v/>
      </c>
    </row>
    <row r="279" spans="1:75" x14ac:dyDescent="0.3">
      <c r="A279" s="169">
        <v>277</v>
      </c>
      <c r="G279" s="169" t="str">
        <f t="shared" si="59"/>
        <v xml:space="preserve">  </v>
      </c>
      <c r="AI279" s="236">
        <f t="shared" si="60"/>
        <v>0</v>
      </c>
      <c r="AJ279" s="218"/>
      <c r="AO279" s="178">
        <f t="shared" si="68"/>
        <v>0</v>
      </c>
      <c r="AP279" s="178">
        <f t="shared" si="69"/>
        <v>0</v>
      </c>
      <c r="AQ279" s="237" t="str">
        <f t="shared" si="61"/>
        <v/>
      </c>
      <c r="BF279" s="241" t="str">
        <f t="shared" si="62"/>
        <v/>
      </c>
      <c r="BL279" s="241" t="str">
        <f t="shared" si="63"/>
        <v/>
      </c>
      <c r="BM279" s="241" t="str">
        <f t="shared" si="64"/>
        <v/>
      </c>
      <c r="BS279" s="247" t="str">
        <f t="shared" si="67"/>
        <v/>
      </c>
      <c r="BV279" s="242" t="str">
        <f t="shared" si="65"/>
        <v/>
      </c>
      <c r="BW279" s="248" t="str">
        <f t="shared" si="66"/>
        <v/>
      </c>
    </row>
    <row r="280" spans="1:75" x14ac:dyDescent="0.3">
      <c r="A280" s="169">
        <v>278</v>
      </c>
      <c r="G280" s="169" t="str">
        <f t="shared" si="59"/>
        <v xml:space="preserve">  </v>
      </c>
      <c r="AI280" s="236">
        <f t="shared" si="60"/>
        <v>0</v>
      </c>
      <c r="AJ280" s="218"/>
      <c r="AO280" s="178">
        <f t="shared" si="68"/>
        <v>0</v>
      </c>
      <c r="AP280" s="178">
        <f t="shared" si="69"/>
        <v>0</v>
      </c>
      <c r="AQ280" s="237" t="str">
        <f t="shared" si="61"/>
        <v/>
      </c>
      <c r="BF280" s="241" t="str">
        <f t="shared" si="62"/>
        <v/>
      </c>
      <c r="BL280" s="241" t="str">
        <f t="shared" si="63"/>
        <v/>
      </c>
      <c r="BM280" s="241" t="str">
        <f t="shared" si="64"/>
        <v/>
      </c>
      <c r="BS280" s="247" t="str">
        <f t="shared" si="67"/>
        <v/>
      </c>
      <c r="BV280" s="242" t="str">
        <f t="shared" si="65"/>
        <v/>
      </c>
      <c r="BW280" s="248" t="str">
        <f t="shared" si="66"/>
        <v/>
      </c>
    </row>
    <row r="281" spans="1:75" x14ac:dyDescent="0.3">
      <c r="A281" s="169">
        <v>279</v>
      </c>
      <c r="G281" s="169" t="str">
        <f t="shared" si="59"/>
        <v xml:space="preserve">  </v>
      </c>
      <c r="AI281" s="236">
        <f t="shared" si="60"/>
        <v>0</v>
      </c>
      <c r="AJ281" s="218"/>
      <c r="AO281" s="178">
        <f t="shared" si="68"/>
        <v>0</v>
      </c>
      <c r="AP281" s="178">
        <f t="shared" si="69"/>
        <v>0</v>
      </c>
      <c r="AQ281" s="237" t="str">
        <f t="shared" si="61"/>
        <v/>
      </c>
      <c r="BF281" s="241" t="str">
        <f t="shared" si="62"/>
        <v/>
      </c>
      <c r="BL281" s="241" t="str">
        <f t="shared" si="63"/>
        <v/>
      </c>
      <c r="BM281" s="241" t="str">
        <f t="shared" si="64"/>
        <v/>
      </c>
      <c r="BS281" s="247" t="str">
        <f t="shared" si="67"/>
        <v/>
      </c>
      <c r="BV281" s="242" t="str">
        <f t="shared" si="65"/>
        <v/>
      </c>
      <c r="BW281" s="248" t="str">
        <f t="shared" si="66"/>
        <v/>
      </c>
    </row>
    <row r="282" spans="1:75" x14ac:dyDescent="0.3">
      <c r="A282" s="169">
        <v>280</v>
      </c>
      <c r="G282" s="169" t="str">
        <f t="shared" si="59"/>
        <v xml:space="preserve">  </v>
      </c>
      <c r="AI282" s="236">
        <f t="shared" si="60"/>
        <v>0</v>
      </c>
      <c r="AJ282" s="218"/>
      <c r="AO282" s="178">
        <f t="shared" si="68"/>
        <v>0</v>
      </c>
      <c r="AP282" s="178">
        <f t="shared" si="69"/>
        <v>0</v>
      </c>
      <c r="AQ282" s="237" t="str">
        <f t="shared" si="61"/>
        <v/>
      </c>
      <c r="BF282" s="241" t="str">
        <f t="shared" si="62"/>
        <v/>
      </c>
      <c r="BL282" s="241" t="str">
        <f t="shared" si="63"/>
        <v/>
      </c>
      <c r="BM282" s="241" t="str">
        <f t="shared" si="64"/>
        <v/>
      </c>
      <c r="BS282" s="247" t="str">
        <f t="shared" si="67"/>
        <v/>
      </c>
      <c r="BV282" s="242" t="str">
        <f t="shared" si="65"/>
        <v/>
      </c>
      <c r="BW282" s="248" t="str">
        <f t="shared" si="66"/>
        <v/>
      </c>
    </row>
    <row r="283" spans="1:75" x14ac:dyDescent="0.3">
      <c r="A283" s="169">
        <v>281</v>
      </c>
      <c r="G283" s="169" t="str">
        <f t="shared" si="59"/>
        <v xml:space="preserve">  </v>
      </c>
      <c r="AI283" s="236">
        <f t="shared" si="60"/>
        <v>0</v>
      </c>
      <c r="AJ283" s="218"/>
      <c r="AO283" s="178">
        <f t="shared" si="68"/>
        <v>0</v>
      </c>
      <c r="AP283" s="178">
        <f t="shared" si="69"/>
        <v>0</v>
      </c>
      <c r="AQ283" s="237" t="str">
        <f t="shared" si="61"/>
        <v/>
      </c>
      <c r="BF283" s="241" t="str">
        <f t="shared" si="62"/>
        <v/>
      </c>
      <c r="BL283" s="241" t="str">
        <f t="shared" si="63"/>
        <v/>
      </c>
      <c r="BM283" s="241" t="str">
        <f t="shared" si="64"/>
        <v/>
      </c>
      <c r="BS283" s="247" t="str">
        <f t="shared" si="67"/>
        <v/>
      </c>
      <c r="BV283" s="242" t="str">
        <f t="shared" si="65"/>
        <v/>
      </c>
      <c r="BW283" s="248" t="str">
        <f t="shared" si="66"/>
        <v/>
      </c>
    </row>
    <row r="284" spans="1:75" x14ac:dyDescent="0.3">
      <c r="A284" s="169">
        <v>282</v>
      </c>
      <c r="G284" s="169" t="str">
        <f t="shared" si="59"/>
        <v xml:space="preserve">  </v>
      </c>
      <c r="AI284" s="236">
        <f t="shared" si="60"/>
        <v>0</v>
      </c>
      <c r="AJ284" s="218"/>
      <c r="AO284" s="178">
        <f t="shared" si="68"/>
        <v>0</v>
      </c>
      <c r="AP284" s="178">
        <f t="shared" si="69"/>
        <v>0</v>
      </c>
      <c r="AQ284" s="237" t="str">
        <f t="shared" si="61"/>
        <v/>
      </c>
      <c r="BF284" s="241" t="str">
        <f t="shared" si="62"/>
        <v/>
      </c>
      <c r="BL284" s="241" t="str">
        <f t="shared" si="63"/>
        <v/>
      </c>
      <c r="BM284" s="241" t="str">
        <f t="shared" si="64"/>
        <v/>
      </c>
      <c r="BS284" s="247" t="str">
        <f t="shared" si="67"/>
        <v/>
      </c>
      <c r="BV284" s="242" t="str">
        <f t="shared" si="65"/>
        <v/>
      </c>
      <c r="BW284" s="248" t="str">
        <f t="shared" si="66"/>
        <v/>
      </c>
    </row>
    <row r="285" spans="1:75" x14ac:dyDescent="0.3">
      <c r="A285" s="169">
        <v>283</v>
      </c>
      <c r="G285" s="169" t="str">
        <f t="shared" si="59"/>
        <v xml:space="preserve">  </v>
      </c>
      <c r="AI285" s="236">
        <f t="shared" si="60"/>
        <v>0</v>
      </c>
      <c r="AJ285" s="218"/>
      <c r="AO285" s="178">
        <f t="shared" si="68"/>
        <v>0</v>
      </c>
      <c r="AP285" s="178">
        <f t="shared" si="69"/>
        <v>0</v>
      </c>
      <c r="AQ285" s="237" t="str">
        <f t="shared" si="61"/>
        <v/>
      </c>
      <c r="BF285" s="241" t="str">
        <f t="shared" si="62"/>
        <v/>
      </c>
      <c r="BL285" s="241" t="str">
        <f t="shared" si="63"/>
        <v/>
      </c>
      <c r="BM285" s="241" t="str">
        <f t="shared" si="64"/>
        <v/>
      </c>
      <c r="BS285" s="247" t="str">
        <f t="shared" si="67"/>
        <v/>
      </c>
      <c r="BV285" s="242" t="str">
        <f t="shared" si="65"/>
        <v/>
      </c>
      <c r="BW285" s="248" t="str">
        <f t="shared" si="66"/>
        <v/>
      </c>
    </row>
    <row r="286" spans="1:75" x14ac:dyDescent="0.3">
      <c r="A286" s="169">
        <v>284</v>
      </c>
      <c r="G286" s="169" t="str">
        <f t="shared" si="59"/>
        <v xml:space="preserve">  </v>
      </c>
      <c r="AI286" s="236">
        <f t="shared" si="60"/>
        <v>0</v>
      </c>
      <c r="AJ286" s="218"/>
      <c r="AO286" s="178">
        <f t="shared" si="68"/>
        <v>0</v>
      </c>
      <c r="AP286" s="178">
        <f t="shared" si="69"/>
        <v>0</v>
      </c>
      <c r="AQ286" s="237" t="str">
        <f t="shared" si="61"/>
        <v/>
      </c>
      <c r="BF286" s="241" t="str">
        <f t="shared" si="62"/>
        <v/>
      </c>
      <c r="BL286" s="241" t="str">
        <f t="shared" si="63"/>
        <v/>
      </c>
      <c r="BM286" s="241" t="str">
        <f t="shared" si="64"/>
        <v/>
      </c>
      <c r="BS286" s="247" t="str">
        <f t="shared" si="67"/>
        <v/>
      </c>
      <c r="BV286" s="242" t="str">
        <f t="shared" si="65"/>
        <v/>
      </c>
      <c r="BW286" s="248" t="str">
        <f t="shared" si="66"/>
        <v/>
      </c>
    </row>
    <row r="287" spans="1:75" x14ac:dyDescent="0.3">
      <c r="A287" s="169">
        <v>285</v>
      </c>
      <c r="G287" s="169" t="str">
        <f t="shared" si="59"/>
        <v xml:space="preserve">  </v>
      </c>
      <c r="AI287" s="236">
        <f t="shared" si="60"/>
        <v>0</v>
      </c>
      <c r="AJ287" s="218"/>
      <c r="AO287" s="178">
        <f t="shared" si="68"/>
        <v>0</v>
      </c>
      <c r="AP287" s="178">
        <f t="shared" si="69"/>
        <v>0</v>
      </c>
      <c r="AQ287" s="237" t="str">
        <f t="shared" si="61"/>
        <v/>
      </c>
      <c r="BF287" s="241" t="str">
        <f t="shared" si="62"/>
        <v/>
      </c>
      <c r="BL287" s="241" t="str">
        <f t="shared" si="63"/>
        <v/>
      </c>
      <c r="BM287" s="241" t="str">
        <f t="shared" si="64"/>
        <v/>
      </c>
      <c r="BS287" s="247" t="str">
        <f t="shared" si="67"/>
        <v/>
      </c>
      <c r="BV287" s="242" t="str">
        <f t="shared" si="65"/>
        <v/>
      </c>
      <c r="BW287" s="248" t="str">
        <f t="shared" si="66"/>
        <v/>
      </c>
    </row>
    <row r="288" spans="1:75" x14ac:dyDescent="0.3">
      <c r="A288" s="169">
        <v>286</v>
      </c>
      <c r="G288" s="169" t="str">
        <f t="shared" si="59"/>
        <v xml:space="preserve">  </v>
      </c>
      <c r="AI288" s="236">
        <f t="shared" si="60"/>
        <v>0</v>
      </c>
      <c r="AJ288" s="218"/>
      <c r="AO288" s="178">
        <f t="shared" si="68"/>
        <v>0</v>
      </c>
      <c r="AP288" s="178">
        <f t="shared" si="69"/>
        <v>0</v>
      </c>
      <c r="AQ288" s="237" t="str">
        <f t="shared" si="61"/>
        <v/>
      </c>
      <c r="BF288" s="241" t="str">
        <f t="shared" si="62"/>
        <v/>
      </c>
      <c r="BL288" s="241" t="str">
        <f t="shared" si="63"/>
        <v/>
      </c>
      <c r="BM288" s="241" t="str">
        <f t="shared" si="64"/>
        <v/>
      </c>
      <c r="BS288" s="247" t="str">
        <f t="shared" si="67"/>
        <v/>
      </c>
      <c r="BV288" s="242" t="str">
        <f t="shared" si="65"/>
        <v/>
      </c>
      <c r="BW288" s="248" t="str">
        <f t="shared" si="66"/>
        <v/>
      </c>
    </row>
    <row r="289" spans="1:122" x14ac:dyDescent="0.3">
      <c r="A289" s="169">
        <v>287</v>
      </c>
      <c r="G289" s="169" t="str">
        <f t="shared" si="59"/>
        <v xml:space="preserve">  </v>
      </c>
      <c r="AI289" s="236">
        <f t="shared" si="60"/>
        <v>0</v>
      </c>
      <c r="AJ289" s="218"/>
      <c r="AO289" s="178">
        <f t="shared" si="68"/>
        <v>0</v>
      </c>
      <c r="AP289" s="178">
        <f t="shared" si="69"/>
        <v>0</v>
      </c>
      <c r="AQ289" s="237" t="str">
        <f t="shared" si="61"/>
        <v/>
      </c>
      <c r="BF289" s="241" t="str">
        <f t="shared" si="62"/>
        <v/>
      </c>
      <c r="BL289" s="241" t="str">
        <f t="shared" si="63"/>
        <v/>
      </c>
      <c r="BM289" s="241" t="str">
        <f t="shared" si="64"/>
        <v/>
      </c>
      <c r="BS289" s="247" t="str">
        <f t="shared" si="67"/>
        <v/>
      </c>
      <c r="BV289" s="242" t="str">
        <f t="shared" si="65"/>
        <v/>
      </c>
      <c r="BW289" s="248" t="str">
        <f t="shared" si="66"/>
        <v/>
      </c>
    </row>
    <row r="290" spans="1:122" x14ac:dyDescent="0.3">
      <c r="A290" s="169">
        <v>288</v>
      </c>
      <c r="G290" s="169" t="str">
        <f t="shared" si="59"/>
        <v xml:space="preserve">  </v>
      </c>
      <c r="AI290" s="236">
        <f t="shared" si="60"/>
        <v>0</v>
      </c>
      <c r="AJ290" s="218"/>
      <c r="AO290" s="178">
        <f t="shared" si="68"/>
        <v>0</v>
      </c>
      <c r="AP290" s="178">
        <f t="shared" si="69"/>
        <v>0</v>
      </c>
      <c r="AQ290" s="237" t="str">
        <f t="shared" si="61"/>
        <v/>
      </c>
      <c r="BF290" s="241" t="str">
        <f t="shared" si="62"/>
        <v/>
      </c>
      <c r="BL290" s="241" t="str">
        <f t="shared" si="63"/>
        <v/>
      </c>
      <c r="BM290" s="241" t="str">
        <f t="shared" si="64"/>
        <v/>
      </c>
      <c r="BS290" s="247" t="str">
        <f t="shared" si="67"/>
        <v/>
      </c>
      <c r="BV290" s="242" t="str">
        <f t="shared" si="65"/>
        <v/>
      </c>
      <c r="BW290" s="248" t="str">
        <f t="shared" si="66"/>
        <v/>
      </c>
    </row>
    <row r="291" spans="1:122" x14ac:dyDescent="0.3">
      <c r="A291" s="169">
        <v>289</v>
      </c>
      <c r="G291" s="169" t="str">
        <f t="shared" si="59"/>
        <v xml:space="preserve">  </v>
      </c>
      <c r="AI291" s="236">
        <f t="shared" si="60"/>
        <v>0</v>
      </c>
      <c r="AJ291" s="218"/>
      <c r="AO291" s="178">
        <f t="shared" si="68"/>
        <v>0</v>
      </c>
      <c r="AP291" s="178">
        <f t="shared" si="69"/>
        <v>0</v>
      </c>
      <c r="AQ291" s="237" t="str">
        <f t="shared" si="61"/>
        <v/>
      </c>
      <c r="BF291" s="241" t="str">
        <f t="shared" si="62"/>
        <v/>
      </c>
      <c r="BL291" s="241" t="str">
        <f t="shared" si="63"/>
        <v/>
      </c>
      <c r="BM291" s="241" t="str">
        <f t="shared" si="64"/>
        <v/>
      </c>
      <c r="BS291" s="247" t="str">
        <f t="shared" si="67"/>
        <v/>
      </c>
      <c r="BV291" s="242" t="str">
        <f t="shared" si="65"/>
        <v/>
      </c>
      <c r="BW291" s="248" t="str">
        <f t="shared" si="66"/>
        <v/>
      </c>
    </row>
    <row r="292" spans="1:122" x14ac:dyDescent="0.3">
      <c r="A292" s="169">
        <v>290</v>
      </c>
      <c r="G292" s="169" t="str">
        <f t="shared" si="59"/>
        <v xml:space="preserve">  </v>
      </c>
      <c r="AI292" s="236">
        <f t="shared" si="60"/>
        <v>0</v>
      </c>
      <c r="AJ292" s="218"/>
      <c r="AO292" s="178">
        <f t="shared" si="68"/>
        <v>0</v>
      </c>
      <c r="AP292" s="178">
        <f t="shared" si="69"/>
        <v>0</v>
      </c>
      <c r="AQ292" s="237" t="str">
        <f t="shared" si="61"/>
        <v/>
      </c>
      <c r="BF292" s="241" t="str">
        <f t="shared" si="62"/>
        <v/>
      </c>
      <c r="BL292" s="241" t="str">
        <f t="shared" si="63"/>
        <v/>
      </c>
      <c r="BM292" s="241" t="str">
        <f t="shared" si="64"/>
        <v/>
      </c>
      <c r="BS292" s="247" t="str">
        <f t="shared" si="67"/>
        <v/>
      </c>
      <c r="BV292" s="242" t="str">
        <f t="shared" si="65"/>
        <v/>
      </c>
      <c r="BW292" s="248" t="str">
        <f t="shared" si="66"/>
        <v/>
      </c>
    </row>
    <row r="293" spans="1:122" x14ac:dyDescent="0.3">
      <c r="A293" s="169">
        <v>291</v>
      </c>
      <c r="G293" s="169" t="str">
        <f t="shared" si="59"/>
        <v xml:space="preserve">  </v>
      </c>
      <c r="AI293" s="236">
        <f t="shared" si="60"/>
        <v>0</v>
      </c>
      <c r="AJ293" s="218"/>
      <c r="AO293" s="178">
        <f t="shared" si="68"/>
        <v>0</v>
      </c>
      <c r="AP293" s="178">
        <f t="shared" si="69"/>
        <v>0</v>
      </c>
      <c r="AQ293" s="237" t="str">
        <f t="shared" si="61"/>
        <v/>
      </c>
      <c r="BF293" s="241" t="str">
        <f t="shared" si="62"/>
        <v/>
      </c>
      <c r="BL293" s="241" t="str">
        <f t="shared" si="63"/>
        <v/>
      </c>
      <c r="BM293" s="241" t="str">
        <f t="shared" si="64"/>
        <v/>
      </c>
      <c r="BS293" s="247" t="str">
        <f t="shared" si="67"/>
        <v/>
      </c>
      <c r="BV293" s="242" t="str">
        <f t="shared" si="65"/>
        <v/>
      </c>
      <c r="BW293" s="248" t="str">
        <f t="shared" si="66"/>
        <v/>
      </c>
    </row>
    <row r="294" spans="1:122" x14ac:dyDescent="0.3">
      <c r="A294" s="169">
        <v>292</v>
      </c>
      <c r="G294" s="169" t="str">
        <f t="shared" si="59"/>
        <v xml:space="preserve">  </v>
      </c>
      <c r="AI294" s="236">
        <f t="shared" si="60"/>
        <v>0</v>
      </c>
      <c r="AJ294" s="218"/>
      <c r="AO294" s="178">
        <f t="shared" si="68"/>
        <v>0</v>
      </c>
      <c r="AP294" s="178">
        <f t="shared" si="69"/>
        <v>0</v>
      </c>
      <c r="AQ294" s="237" t="str">
        <f t="shared" si="61"/>
        <v/>
      </c>
      <c r="BF294" s="241" t="str">
        <f t="shared" si="62"/>
        <v/>
      </c>
      <c r="BL294" s="241" t="str">
        <f t="shared" si="63"/>
        <v/>
      </c>
      <c r="BM294" s="241" t="str">
        <f t="shared" si="64"/>
        <v/>
      </c>
      <c r="BS294" s="247" t="str">
        <f t="shared" si="67"/>
        <v/>
      </c>
      <c r="BV294" s="242" t="str">
        <f t="shared" si="65"/>
        <v/>
      </c>
      <c r="BW294" s="248" t="str">
        <f t="shared" si="66"/>
        <v/>
      </c>
    </row>
    <row r="295" spans="1:122" x14ac:dyDescent="0.3">
      <c r="A295" s="169">
        <v>293</v>
      </c>
      <c r="G295" s="169" t="str">
        <f t="shared" si="59"/>
        <v xml:space="preserve">  </v>
      </c>
      <c r="AI295" s="236">
        <f t="shared" si="60"/>
        <v>0</v>
      </c>
      <c r="AJ295" s="218"/>
      <c r="AO295" s="178">
        <f t="shared" si="68"/>
        <v>0</v>
      </c>
      <c r="AP295" s="178">
        <f t="shared" si="69"/>
        <v>0</v>
      </c>
      <c r="AQ295" s="237" t="str">
        <f t="shared" si="61"/>
        <v/>
      </c>
      <c r="BF295" s="241" t="str">
        <f t="shared" si="62"/>
        <v/>
      </c>
      <c r="BL295" s="241" t="str">
        <f t="shared" si="63"/>
        <v/>
      </c>
      <c r="BM295" s="241" t="str">
        <f t="shared" si="64"/>
        <v/>
      </c>
      <c r="BS295" s="247" t="str">
        <f t="shared" si="67"/>
        <v/>
      </c>
      <c r="BV295" s="242" t="str">
        <f t="shared" si="65"/>
        <v/>
      </c>
      <c r="BW295" s="248" t="str">
        <f t="shared" si="66"/>
        <v/>
      </c>
    </row>
    <row r="296" spans="1:122" x14ac:dyDescent="0.3">
      <c r="A296" s="169">
        <v>294</v>
      </c>
      <c r="G296" s="169" t="str">
        <f t="shared" si="59"/>
        <v xml:space="preserve">  </v>
      </c>
      <c r="AI296" s="236">
        <f t="shared" si="60"/>
        <v>0</v>
      </c>
      <c r="AJ296" s="218"/>
      <c r="AO296" s="178">
        <f t="shared" si="68"/>
        <v>0</v>
      </c>
      <c r="AP296" s="178">
        <f t="shared" si="69"/>
        <v>0</v>
      </c>
      <c r="AQ296" s="237" t="str">
        <f t="shared" si="61"/>
        <v/>
      </c>
      <c r="BF296" s="241" t="str">
        <f t="shared" si="62"/>
        <v/>
      </c>
      <c r="BL296" s="241" t="str">
        <f t="shared" si="63"/>
        <v/>
      </c>
      <c r="BM296" s="241" t="str">
        <f t="shared" si="64"/>
        <v/>
      </c>
      <c r="BS296" s="247" t="str">
        <f t="shared" si="67"/>
        <v/>
      </c>
      <c r="BV296" s="242" t="str">
        <f t="shared" si="65"/>
        <v/>
      </c>
      <c r="BW296" s="248" t="str">
        <f t="shared" si="66"/>
        <v/>
      </c>
    </row>
    <row r="297" spans="1:122" x14ac:dyDescent="0.3">
      <c r="A297" s="169">
        <v>295</v>
      </c>
      <c r="G297" s="169" t="str">
        <f t="shared" si="59"/>
        <v xml:space="preserve">  </v>
      </c>
      <c r="AI297" s="236">
        <f t="shared" si="60"/>
        <v>0</v>
      </c>
      <c r="AJ297" s="218"/>
      <c r="AO297" s="178">
        <f t="shared" si="68"/>
        <v>0</v>
      </c>
      <c r="AP297" s="178">
        <f t="shared" si="69"/>
        <v>0</v>
      </c>
      <c r="AQ297" s="237" t="str">
        <f t="shared" si="61"/>
        <v/>
      </c>
      <c r="BF297" s="241" t="str">
        <f t="shared" si="62"/>
        <v/>
      </c>
      <c r="BL297" s="241" t="str">
        <f t="shared" si="63"/>
        <v/>
      </c>
      <c r="BM297" s="241" t="str">
        <f t="shared" si="64"/>
        <v/>
      </c>
      <c r="BS297" s="247" t="str">
        <f t="shared" si="67"/>
        <v/>
      </c>
      <c r="BV297" s="242" t="str">
        <f t="shared" si="65"/>
        <v/>
      </c>
      <c r="BW297" s="248" t="str">
        <f t="shared" si="66"/>
        <v/>
      </c>
    </row>
    <row r="298" spans="1:122" x14ac:dyDescent="0.3">
      <c r="A298" s="169">
        <v>296</v>
      </c>
      <c r="G298" s="169" t="str">
        <f t="shared" si="59"/>
        <v xml:space="preserve">  </v>
      </c>
      <c r="AI298" s="236">
        <f t="shared" si="60"/>
        <v>0</v>
      </c>
      <c r="AJ298" s="218"/>
      <c r="AO298" s="178">
        <f t="shared" si="68"/>
        <v>0</v>
      </c>
      <c r="AP298" s="178">
        <f t="shared" si="69"/>
        <v>0</v>
      </c>
      <c r="AQ298" s="237" t="str">
        <f t="shared" si="61"/>
        <v/>
      </c>
      <c r="BF298" s="241" t="str">
        <f t="shared" si="62"/>
        <v/>
      </c>
      <c r="BL298" s="241" t="str">
        <f t="shared" si="63"/>
        <v/>
      </c>
      <c r="BM298" s="241" t="str">
        <f t="shared" si="64"/>
        <v/>
      </c>
      <c r="BS298" s="247" t="str">
        <f t="shared" si="67"/>
        <v/>
      </c>
      <c r="BV298" s="242" t="str">
        <f t="shared" si="65"/>
        <v/>
      </c>
      <c r="BW298" s="248" t="str">
        <f t="shared" si="66"/>
        <v/>
      </c>
    </row>
    <row r="299" spans="1:122" x14ac:dyDescent="0.3">
      <c r="A299" s="169">
        <v>297</v>
      </c>
      <c r="G299" s="169" t="str">
        <f t="shared" si="59"/>
        <v xml:space="preserve">  </v>
      </c>
      <c r="AI299" s="236">
        <f t="shared" si="60"/>
        <v>0</v>
      </c>
      <c r="AJ299" s="218"/>
      <c r="AO299" s="178">
        <f t="shared" si="68"/>
        <v>0</v>
      </c>
      <c r="AP299" s="178">
        <f t="shared" si="69"/>
        <v>0</v>
      </c>
      <c r="AQ299" s="237" t="str">
        <f t="shared" si="61"/>
        <v/>
      </c>
      <c r="BF299" s="241" t="str">
        <f t="shared" si="62"/>
        <v/>
      </c>
      <c r="BL299" s="241" t="str">
        <f t="shared" si="63"/>
        <v/>
      </c>
      <c r="BM299" s="241" t="str">
        <f t="shared" si="64"/>
        <v/>
      </c>
      <c r="BS299" s="247" t="str">
        <f t="shared" si="67"/>
        <v/>
      </c>
      <c r="BV299" s="242" t="str">
        <f t="shared" si="65"/>
        <v/>
      </c>
      <c r="BW299" s="248" t="str">
        <f t="shared" si="66"/>
        <v/>
      </c>
    </row>
    <row r="300" spans="1:122" x14ac:dyDescent="0.3">
      <c r="A300" s="169">
        <v>298</v>
      </c>
      <c r="G300" s="169" t="str">
        <f t="shared" si="59"/>
        <v xml:space="preserve">  </v>
      </c>
      <c r="AI300" s="236">
        <f t="shared" si="60"/>
        <v>0</v>
      </c>
      <c r="AJ300" s="218"/>
      <c r="AO300" s="178">
        <f t="shared" si="68"/>
        <v>0</v>
      </c>
      <c r="AP300" s="178">
        <f t="shared" si="69"/>
        <v>0</v>
      </c>
      <c r="AQ300" s="237" t="str">
        <f t="shared" si="61"/>
        <v/>
      </c>
      <c r="BF300" s="241" t="str">
        <f t="shared" si="62"/>
        <v/>
      </c>
      <c r="BL300" s="241" t="str">
        <f t="shared" si="63"/>
        <v/>
      </c>
      <c r="BM300" s="241" t="str">
        <f t="shared" si="64"/>
        <v/>
      </c>
      <c r="BS300" s="247" t="str">
        <f t="shared" si="67"/>
        <v/>
      </c>
      <c r="BV300" s="242" t="str">
        <f t="shared" si="65"/>
        <v/>
      </c>
      <c r="BW300" s="248" t="str">
        <f t="shared" si="66"/>
        <v/>
      </c>
    </row>
    <row r="301" spans="1:122" x14ac:dyDescent="0.3">
      <c r="A301" s="169">
        <v>299</v>
      </c>
      <c r="G301" s="169" t="str">
        <f t="shared" si="59"/>
        <v xml:space="preserve">  </v>
      </c>
      <c r="AI301" s="236">
        <f t="shared" si="60"/>
        <v>0</v>
      </c>
      <c r="AJ301" s="218"/>
      <c r="AO301" s="178">
        <f t="shared" si="68"/>
        <v>0</v>
      </c>
      <c r="AP301" s="178">
        <f t="shared" si="69"/>
        <v>0</v>
      </c>
      <c r="AQ301" s="237" t="str">
        <f t="shared" si="61"/>
        <v/>
      </c>
      <c r="BF301" s="241" t="str">
        <f t="shared" si="62"/>
        <v/>
      </c>
      <c r="BL301" s="241" t="str">
        <f t="shared" si="63"/>
        <v/>
      </c>
      <c r="BM301" s="241" t="str">
        <f t="shared" si="64"/>
        <v/>
      </c>
      <c r="BS301" s="247" t="str">
        <f t="shared" si="67"/>
        <v/>
      </c>
      <c r="BV301" s="242" t="str">
        <f t="shared" si="65"/>
        <v/>
      </c>
      <c r="BW301" s="248" t="str">
        <f t="shared" si="66"/>
        <v/>
      </c>
    </row>
    <row r="302" spans="1:122" x14ac:dyDescent="0.3">
      <c r="G302" s="169" t="str">
        <f t="shared" si="59"/>
        <v xml:space="preserve">  </v>
      </c>
      <c r="AK302" s="174" t="s">
        <v>284</v>
      </c>
      <c r="BF302" s="241" t="str">
        <f t="shared" si="62"/>
        <v/>
      </c>
      <c r="BL302" s="241" t="str">
        <f t="shared" si="63"/>
        <v/>
      </c>
      <c r="BM302" s="241" t="str">
        <f t="shared" si="64"/>
        <v/>
      </c>
      <c r="BS302" s="247" t="str">
        <f t="shared" si="67"/>
        <v/>
      </c>
      <c r="CI302" s="186" t="s">
        <v>208</v>
      </c>
      <c r="CJ302" s="186" t="s">
        <v>193</v>
      </c>
      <c r="CL302" s="186" t="s">
        <v>193</v>
      </c>
      <c r="CM302" s="186" t="s">
        <v>193</v>
      </c>
      <c r="CW302" s="187" t="s">
        <v>210</v>
      </c>
      <c r="CX302" s="187" t="s">
        <v>222</v>
      </c>
      <c r="CY302" s="187" t="s">
        <v>218</v>
      </c>
      <c r="CZ302" s="187" t="s">
        <v>227</v>
      </c>
      <c r="DB302" s="187" t="s">
        <v>229</v>
      </c>
      <c r="DE302" s="190" t="s">
        <v>233</v>
      </c>
      <c r="DF302" s="187" t="s">
        <v>233</v>
      </c>
      <c r="DG302" s="187" t="s">
        <v>233</v>
      </c>
      <c r="DH302" s="187" t="s">
        <v>233</v>
      </c>
      <c r="DI302" s="187" t="s">
        <v>233</v>
      </c>
      <c r="DJ302" s="187" t="s">
        <v>244</v>
      </c>
      <c r="DK302" s="191" t="s">
        <v>245</v>
      </c>
      <c r="DP302" s="187" t="s">
        <v>490</v>
      </c>
      <c r="DR302" s="187" t="s">
        <v>266</v>
      </c>
    </row>
    <row r="303" spans="1:122" x14ac:dyDescent="0.3">
      <c r="G303" s="169" t="str">
        <f t="shared" si="59"/>
        <v xml:space="preserve">  </v>
      </c>
      <c r="AK303" s="174" t="s">
        <v>285</v>
      </c>
      <c r="BF303" s="241" t="str">
        <f t="shared" si="62"/>
        <v/>
      </c>
      <c r="BL303" s="244" t="str">
        <f t="shared" ref="BL303:BL320" si="70">IF(BK303="","",IF(AND(BJ303&gt;400,BK303&gt;1),"No Procede",IF(BK303&lt;1,"",BI303-BK303-(BJ303/5))))</f>
        <v/>
      </c>
      <c r="BM303" s="241" t="str">
        <f t="shared" si="64"/>
        <v/>
      </c>
      <c r="BS303" s="247" t="str">
        <f t="shared" si="67"/>
        <v/>
      </c>
      <c r="CI303" s="186" t="s">
        <v>191</v>
      </c>
      <c r="CJ303" s="186" t="s">
        <v>192</v>
      </c>
      <c r="CL303" s="186" t="s">
        <v>192</v>
      </c>
      <c r="CM303" s="186" t="s">
        <v>192</v>
      </c>
      <c r="CW303" s="187" t="s">
        <v>216</v>
      </c>
      <c r="CX303" s="187" t="s">
        <v>223</v>
      </c>
      <c r="CY303" s="187" t="s">
        <v>219</v>
      </c>
      <c r="CZ303" s="187" t="s">
        <v>228</v>
      </c>
      <c r="DB303" s="187" t="s">
        <v>230</v>
      </c>
      <c r="DE303" s="190" t="s">
        <v>234</v>
      </c>
      <c r="DF303" s="187" t="s">
        <v>239</v>
      </c>
      <c r="DG303" s="187" t="s">
        <v>234</v>
      </c>
      <c r="DH303" s="187" t="s">
        <v>234</v>
      </c>
      <c r="DI303" s="187" t="s">
        <v>234</v>
      </c>
      <c r="DJ303" s="187">
        <v>1</v>
      </c>
      <c r="DK303" s="191" t="s">
        <v>246</v>
      </c>
      <c r="DP303" s="187" t="s">
        <v>491</v>
      </c>
      <c r="DR303" s="187" t="s">
        <v>267</v>
      </c>
    </row>
    <row r="304" spans="1:122" x14ac:dyDescent="0.3">
      <c r="G304" s="169" t="str">
        <f t="shared" si="59"/>
        <v xml:space="preserve">  </v>
      </c>
      <c r="AK304" s="174" t="s">
        <v>286</v>
      </c>
      <c r="BF304" s="241" t="str">
        <f t="shared" si="62"/>
        <v/>
      </c>
      <c r="BL304" s="244" t="str">
        <f t="shared" si="70"/>
        <v/>
      </c>
      <c r="BM304" s="241" t="str">
        <f t="shared" si="64"/>
        <v/>
      </c>
      <c r="BS304" s="247" t="str">
        <f t="shared" si="67"/>
        <v/>
      </c>
      <c r="CJ304" s="186" t="s">
        <v>209</v>
      </c>
      <c r="CW304" s="187" t="s">
        <v>538</v>
      </c>
      <c r="CX304" s="187" t="s">
        <v>224</v>
      </c>
      <c r="CY304" s="187" t="s">
        <v>220</v>
      </c>
      <c r="DB304" s="187" t="s">
        <v>231</v>
      </c>
      <c r="DE304" s="190" t="s">
        <v>235</v>
      </c>
      <c r="DF304" s="187" t="s">
        <v>240</v>
      </c>
      <c r="DG304" s="187" t="s">
        <v>235</v>
      </c>
      <c r="DH304" s="187" t="s">
        <v>235</v>
      </c>
      <c r="DI304" s="187" t="s">
        <v>235</v>
      </c>
      <c r="DJ304" s="187">
        <v>2</v>
      </c>
      <c r="DP304" s="187" t="s">
        <v>492</v>
      </c>
      <c r="DR304" s="187" t="s">
        <v>268</v>
      </c>
    </row>
    <row r="305" spans="7:122" x14ac:dyDescent="0.3">
      <c r="G305" s="169" t="str">
        <f t="shared" si="59"/>
        <v xml:space="preserve">  </v>
      </c>
      <c r="AK305" s="174" t="s">
        <v>287</v>
      </c>
      <c r="BF305" s="241" t="str">
        <f t="shared" si="62"/>
        <v/>
      </c>
      <c r="BL305" s="244" t="str">
        <f t="shared" si="70"/>
        <v/>
      </c>
      <c r="BM305" s="241" t="str">
        <f t="shared" si="64"/>
        <v/>
      </c>
      <c r="BS305" s="247" t="str">
        <f t="shared" si="67"/>
        <v/>
      </c>
      <c r="CW305" s="187" t="s">
        <v>211</v>
      </c>
      <c r="CX305" s="187" t="s">
        <v>225</v>
      </c>
      <c r="CY305" s="187" t="s">
        <v>539</v>
      </c>
      <c r="DB305" s="187" t="s">
        <v>232</v>
      </c>
      <c r="DE305" s="190" t="s">
        <v>236</v>
      </c>
      <c r="DF305" s="187" t="s">
        <v>241</v>
      </c>
      <c r="DG305" s="187" t="s">
        <v>236</v>
      </c>
      <c r="DH305" s="187" t="s">
        <v>236</v>
      </c>
      <c r="DI305" s="187" t="s">
        <v>236</v>
      </c>
      <c r="DJ305" s="187">
        <v>3</v>
      </c>
      <c r="DP305" s="187" t="s">
        <v>493</v>
      </c>
      <c r="DR305" s="187" t="s">
        <v>269</v>
      </c>
    </row>
    <row r="306" spans="7:122" x14ac:dyDescent="0.3">
      <c r="G306" s="169" t="str">
        <f t="shared" si="59"/>
        <v xml:space="preserve">  </v>
      </c>
      <c r="AK306" s="174" t="s">
        <v>288</v>
      </c>
      <c r="BF306" s="241" t="str">
        <f t="shared" si="62"/>
        <v/>
      </c>
      <c r="BL306" s="244" t="str">
        <f t="shared" si="70"/>
        <v/>
      </c>
      <c r="BM306" s="241" t="str">
        <f t="shared" si="64"/>
        <v/>
      </c>
      <c r="BS306" s="247" t="str">
        <f t="shared" si="67"/>
        <v/>
      </c>
      <c r="CW306" s="187" t="s">
        <v>212</v>
      </c>
      <c r="CX306" s="187" t="s">
        <v>214</v>
      </c>
      <c r="CY306" s="187" t="s">
        <v>221</v>
      </c>
      <c r="DE306" s="190" t="s">
        <v>237</v>
      </c>
      <c r="DF306" s="187" t="s">
        <v>242</v>
      </c>
      <c r="DG306" s="187" t="s">
        <v>237</v>
      </c>
      <c r="DH306" s="187" t="s">
        <v>237</v>
      </c>
      <c r="DI306" s="187" t="s">
        <v>237</v>
      </c>
      <c r="DJ306" s="187">
        <v>4</v>
      </c>
      <c r="DP306" s="187" t="s">
        <v>533</v>
      </c>
    </row>
    <row r="307" spans="7:122" x14ac:dyDescent="0.3">
      <c r="G307" s="169" t="str">
        <f t="shared" si="59"/>
        <v xml:space="preserve">  </v>
      </c>
      <c r="AK307" s="174" t="s">
        <v>289</v>
      </c>
      <c r="BF307" s="241" t="str">
        <f t="shared" si="62"/>
        <v/>
      </c>
      <c r="BL307" s="244" t="str">
        <f t="shared" si="70"/>
        <v/>
      </c>
      <c r="BM307" s="241" t="str">
        <f t="shared" si="64"/>
        <v/>
      </c>
      <c r="BS307" s="247" t="str">
        <f t="shared" si="67"/>
        <v/>
      </c>
      <c r="CW307" s="187" t="s">
        <v>213</v>
      </c>
      <c r="CX307" s="187" t="s">
        <v>226</v>
      </c>
      <c r="DE307" s="190" t="s">
        <v>238</v>
      </c>
      <c r="DF307" s="187" t="s">
        <v>243</v>
      </c>
      <c r="DI307" s="187" t="s">
        <v>238</v>
      </c>
      <c r="DJ307" s="187">
        <v>8</v>
      </c>
      <c r="DP307" s="187" t="s">
        <v>384</v>
      </c>
    </row>
    <row r="308" spans="7:122" x14ac:dyDescent="0.3">
      <c r="G308" s="169" t="str">
        <f t="shared" si="59"/>
        <v xml:space="preserve">  </v>
      </c>
      <c r="AK308" s="174" t="s">
        <v>290</v>
      </c>
      <c r="BF308" s="241" t="str">
        <f t="shared" si="62"/>
        <v/>
      </c>
      <c r="BL308" s="244" t="str">
        <f t="shared" si="70"/>
        <v/>
      </c>
      <c r="BM308" s="241" t="str">
        <f t="shared" si="64"/>
        <v/>
      </c>
      <c r="BS308" s="247" t="str">
        <f t="shared" si="67"/>
        <v/>
      </c>
      <c r="CW308" s="187" t="s">
        <v>214</v>
      </c>
      <c r="DF308" s="187" t="s">
        <v>237</v>
      </c>
      <c r="DJ308" s="187">
        <v>16</v>
      </c>
    </row>
    <row r="309" spans="7:122" x14ac:dyDescent="0.3">
      <c r="G309" s="169" t="str">
        <f t="shared" si="59"/>
        <v xml:space="preserve">  </v>
      </c>
      <c r="AK309" s="174" t="s">
        <v>291</v>
      </c>
      <c r="BF309" s="241" t="str">
        <f t="shared" si="62"/>
        <v/>
      </c>
      <c r="BL309" s="244" t="str">
        <f t="shared" si="70"/>
        <v/>
      </c>
      <c r="BM309" s="241" t="str">
        <f t="shared" si="64"/>
        <v/>
      </c>
      <c r="BS309" s="247" t="str">
        <f t="shared" si="67"/>
        <v/>
      </c>
      <c r="CW309" s="187" t="s">
        <v>217</v>
      </c>
    </row>
    <row r="310" spans="7:122" x14ac:dyDescent="0.3">
      <c r="G310" s="169" t="str">
        <f t="shared" si="59"/>
        <v xml:space="preserve">  </v>
      </c>
      <c r="BF310" s="241" t="str">
        <f t="shared" si="62"/>
        <v/>
      </c>
      <c r="BL310" s="244" t="str">
        <f t="shared" si="70"/>
        <v/>
      </c>
      <c r="BM310" s="241" t="str">
        <f t="shared" si="64"/>
        <v/>
      </c>
      <c r="BS310" s="247" t="str">
        <f t="shared" si="67"/>
        <v/>
      </c>
      <c r="CW310" s="187" t="s">
        <v>494</v>
      </c>
    </row>
    <row r="311" spans="7:122" x14ac:dyDescent="0.3">
      <c r="G311" s="169" t="str">
        <f t="shared" si="59"/>
        <v xml:space="preserve">  </v>
      </c>
      <c r="BF311" s="241" t="str">
        <f t="shared" si="62"/>
        <v/>
      </c>
      <c r="BL311" s="244" t="str">
        <f t="shared" si="70"/>
        <v/>
      </c>
      <c r="BM311" s="241" t="str">
        <f t="shared" si="64"/>
        <v/>
      </c>
      <c r="BS311" s="247" t="str">
        <f t="shared" si="67"/>
        <v/>
      </c>
      <c r="CW311" s="187" t="s">
        <v>215</v>
      </c>
    </row>
    <row r="312" spans="7:122" x14ac:dyDescent="0.3">
      <c r="G312" s="169" t="str">
        <f t="shared" si="59"/>
        <v xml:space="preserve">  </v>
      </c>
      <c r="BF312" s="241" t="str">
        <f t="shared" si="62"/>
        <v/>
      </c>
      <c r="BL312" s="244" t="str">
        <f t="shared" si="70"/>
        <v/>
      </c>
      <c r="BM312" s="241" t="str">
        <f t="shared" si="64"/>
        <v/>
      </c>
      <c r="BS312" s="247" t="str">
        <f t="shared" si="67"/>
        <v/>
      </c>
      <c r="CW312" s="187" t="s">
        <v>495</v>
      </c>
    </row>
    <row r="313" spans="7:122" x14ac:dyDescent="0.3">
      <c r="G313" s="169" t="str">
        <f t="shared" si="59"/>
        <v xml:space="preserve">  </v>
      </c>
      <c r="BF313" s="241" t="str">
        <f t="shared" si="62"/>
        <v/>
      </c>
      <c r="BL313" s="244" t="str">
        <f t="shared" si="70"/>
        <v/>
      </c>
      <c r="BM313" s="241" t="str">
        <f t="shared" si="64"/>
        <v/>
      </c>
      <c r="BS313" s="247" t="str">
        <f t="shared" si="67"/>
        <v/>
      </c>
    </row>
    <row r="314" spans="7:122" x14ac:dyDescent="0.3">
      <c r="G314" s="169" t="str">
        <f t="shared" si="59"/>
        <v xml:space="preserve">  </v>
      </c>
      <c r="BF314" s="241" t="str">
        <f t="shared" si="62"/>
        <v/>
      </c>
      <c r="BL314" s="244" t="str">
        <f t="shared" si="70"/>
        <v/>
      </c>
      <c r="BM314" s="241" t="str">
        <f t="shared" si="64"/>
        <v/>
      </c>
      <c r="BS314" s="247" t="str">
        <f t="shared" si="67"/>
        <v/>
      </c>
    </row>
    <row r="315" spans="7:122" x14ac:dyDescent="0.3">
      <c r="G315" s="169" t="str">
        <f t="shared" si="59"/>
        <v xml:space="preserve">  </v>
      </c>
      <c r="BF315" s="241" t="str">
        <f t="shared" si="62"/>
        <v/>
      </c>
      <c r="BL315" s="244" t="str">
        <f t="shared" si="70"/>
        <v/>
      </c>
      <c r="BM315" s="241" t="str">
        <f t="shared" si="64"/>
        <v/>
      </c>
      <c r="BS315" s="247" t="str">
        <f t="shared" si="67"/>
        <v/>
      </c>
    </row>
    <row r="316" spans="7:122" x14ac:dyDescent="0.3">
      <c r="G316" s="169" t="str">
        <f t="shared" si="59"/>
        <v xml:space="preserve">  </v>
      </c>
      <c r="BF316" s="241" t="str">
        <f t="shared" si="62"/>
        <v/>
      </c>
      <c r="BL316" s="244" t="str">
        <f t="shared" si="70"/>
        <v/>
      </c>
      <c r="BM316" s="241" t="str">
        <f t="shared" si="64"/>
        <v/>
      </c>
      <c r="BS316" s="247" t="str">
        <f t="shared" si="67"/>
        <v/>
      </c>
    </row>
    <row r="317" spans="7:122" x14ac:dyDescent="0.3">
      <c r="G317" s="169" t="str">
        <f t="shared" si="59"/>
        <v xml:space="preserve">  </v>
      </c>
      <c r="BF317" s="241" t="str">
        <f t="shared" si="62"/>
        <v/>
      </c>
      <c r="BL317" s="244" t="str">
        <f t="shared" si="70"/>
        <v/>
      </c>
      <c r="BM317" s="241" t="str">
        <f t="shared" si="64"/>
        <v/>
      </c>
      <c r="BS317" s="247" t="str">
        <f t="shared" si="67"/>
        <v/>
      </c>
    </row>
    <row r="318" spans="7:122" x14ac:dyDescent="0.3">
      <c r="G318" s="169" t="str">
        <f t="shared" si="59"/>
        <v xml:space="preserve">  </v>
      </c>
      <c r="BF318" s="241" t="str">
        <f t="shared" si="62"/>
        <v/>
      </c>
      <c r="BL318" s="244" t="str">
        <f t="shared" si="70"/>
        <v/>
      </c>
      <c r="BM318" s="241" t="str">
        <f t="shared" si="64"/>
        <v/>
      </c>
      <c r="BS318" s="247" t="str">
        <f t="shared" si="67"/>
        <v/>
      </c>
    </row>
    <row r="319" spans="7:122" x14ac:dyDescent="0.3">
      <c r="G319" s="169" t="str">
        <f t="shared" si="59"/>
        <v xml:space="preserve">  </v>
      </c>
      <c r="BF319" s="241" t="str">
        <f t="shared" si="62"/>
        <v/>
      </c>
      <c r="BL319" s="244" t="str">
        <f t="shared" si="70"/>
        <v/>
      </c>
      <c r="BM319" s="241" t="str">
        <f t="shared" si="64"/>
        <v/>
      </c>
      <c r="BS319" s="247" t="str">
        <f t="shared" si="67"/>
        <v/>
      </c>
    </row>
    <row r="320" spans="7:122" x14ac:dyDescent="0.3">
      <c r="G320" s="169" t="str">
        <f t="shared" si="59"/>
        <v xml:space="preserve">  </v>
      </c>
      <c r="BF320" s="241" t="str">
        <f t="shared" si="62"/>
        <v/>
      </c>
      <c r="BL320" s="244" t="str">
        <f t="shared" si="70"/>
        <v/>
      </c>
      <c r="BM320" s="241" t="str">
        <f t="shared" si="64"/>
        <v/>
      </c>
      <c r="BS320" s="247" t="str">
        <f t="shared" si="67"/>
        <v/>
      </c>
    </row>
    <row r="321" spans="7:71" x14ac:dyDescent="0.3">
      <c r="G321" s="169" t="str">
        <f t="shared" si="59"/>
        <v xml:space="preserve">  </v>
      </c>
      <c r="BF321" s="241" t="str">
        <f t="shared" si="62"/>
        <v/>
      </c>
      <c r="BM321" s="241" t="str">
        <f t="shared" si="64"/>
        <v/>
      </c>
      <c r="BS321" s="247" t="str">
        <f t="shared" si="67"/>
        <v/>
      </c>
    </row>
    <row r="322" spans="7:71" x14ac:dyDescent="0.3">
      <c r="G322" s="169" t="str">
        <f t="shared" si="59"/>
        <v xml:space="preserve">  </v>
      </c>
      <c r="BF322" s="241" t="str">
        <f t="shared" si="62"/>
        <v/>
      </c>
      <c r="BM322" s="241" t="str">
        <f t="shared" si="64"/>
        <v/>
      </c>
      <c r="BS322" s="247" t="str">
        <f t="shared" si="67"/>
        <v/>
      </c>
    </row>
    <row r="323" spans="7:71" x14ac:dyDescent="0.3">
      <c r="G323" s="169" t="str">
        <f t="shared" ref="G323:G354" si="71">CONCATENATE(D323," ",E323," ",F323)</f>
        <v xml:space="preserve">  </v>
      </c>
      <c r="BF323" s="241" t="str">
        <f t="shared" si="62"/>
        <v/>
      </c>
      <c r="BM323" s="241" t="str">
        <f t="shared" si="64"/>
        <v/>
      </c>
      <c r="BS323" s="247" t="str">
        <f t="shared" si="67"/>
        <v/>
      </c>
    </row>
    <row r="324" spans="7:71" x14ac:dyDescent="0.3">
      <c r="G324" s="169" t="str">
        <f t="shared" si="71"/>
        <v xml:space="preserve">  </v>
      </c>
      <c r="BF324" s="241" t="str">
        <f t="shared" ref="BF324:BF350" si="72">IF(BE324="","",BE324/2.14)</f>
        <v/>
      </c>
      <c r="BM324" s="241" t="str">
        <f t="shared" ref="BM324:BM348" si="73">IF(BK324="","",IF(AND(BJ324&gt;400,BK324&gt;1),"NO PROCEDE",IF(BK324="","",BJ324/5)))</f>
        <v/>
      </c>
      <c r="BS324" s="247" t="str">
        <f t="shared" si="67"/>
        <v/>
      </c>
    </row>
    <row r="325" spans="7:71" x14ac:dyDescent="0.3">
      <c r="G325" s="169" t="str">
        <f t="shared" si="71"/>
        <v xml:space="preserve">  </v>
      </c>
      <c r="BF325" s="241" t="str">
        <f t="shared" si="72"/>
        <v/>
      </c>
      <c r="BM325" s="241" t="str">
        <f t="shared" si="73"/>
        <v/>
      </c>
      <c r="BS325" s="247" t="str">
        <f t="shared" ref="BS325:BS338" si="74">IF(BQ325="","",SUM(BQ325:BR325))</f>
        <v/>
      </c>
    </row>
    <row r="326" spans="7:71" x14ac:dyDescent="0.3">
      <c r="G326" s="169" t="str">
        <f t="shared" si="71"/>
        <v xml:space="preserve">  </v>
      </c>
      <c r="BF326" s="241" t="str">
        <f t="shared" si="72"/>
        <v/>
      </c>
      <c r="BM326" s="241" t="str">
        <f t="shared" si="73"/>
        <v/>
      </c>
      <c r="BS326" s="247" t="str">
        <f t="shared" si="74"/>
        <v/>
      </c>
    </row>
    <row r="327" spans="7:71" x14ac:dyDescent="0.3">
      <c r="G327" s="169" t="str">
        <f t="shared" si="71"/>
        <v xml:space="preserve">  </v>
      </c>
      <c r="BF327" s="241" t="str">
        <f t="shared" si="72"/>
        <v/>
      </c>
      <c r="BM327" s="241" t="str">
        <f t="shared" si="73"/>
        <v/>
      </c>
      <c r="BS327" s="247" t="str">
        <f t="shared" si="74"/>
        <v/>
      </c>
    </row>
    <row r="328" spans="7:71" x14ac:dyDescent="0.3">
      <c r="G328" s="169" t="str">
        <f t="shared" si="71"/>
        <v xml:space="preserve">  </v>
      </c>
      <c r="BF328" s="241" t="str">
        <f t="shared" si="72"/>
        <v/>
      </c>
      <c r="BM328" s="241" t="str">
        <f t="shared" si="73"/>
        <v/>
      </c>
      <c r="BS328" s="247" t="str">
        <f t="shared" si="74"/>
        <v/>
      </c>
    </row>
    <row r="329" spans="7:71" x14ac:dyDescent="0.3">
      <c r="G329" s="169" t="str">
        <f t="shared" si="71"/>
        <v xml:space="preserve">  </v>
      </c>
      <c r="BF329" s="241" t="str">
        <f t="shared" si="72"/>
        <v/>
      </c>
      <c r="BM329" s="241" t="str">
        <f t="shared" si="73"/>
        <v/>
      </c>
      <c r="BS329" s="247" t="str">
        <f t="shared" si="74"/>
        <v/>
      </c>
    </row>
    <row r="330" spans="7:71" x14ac:dyDescent="0.3">
      <c r="G330" s="169" t="str">
        <f t="shared" si="71"/>
        <v xml:space="preserve">  </v>
      </c>
      <c r="BF330" s="241" t="str">
        <f t="shared" si="72"/>
        <v/>
      </c>
      <c r="BM330" s="241" t="str">
        <f t="shared" si="73"/>
        <v/>
      </c>
      <c r="BS330" s="247" t="str">
        <f t="shared" si="74"/>
        <v/>
      </c>
    </row>
    <row r="331" spans="7:71" x14ac:dyDescent="0.3">
      <c r="G331" s="169" t="str">
        <f t="shared" si="71"/>
        <v xml:space="preserve">  </v>
      </c>
      <c r="BF331" s="241" t="str">
        <f t="shared" si="72"/>
        <v/>
      </c>
      <c r="BM331" s="241" t="str">
        <f t="shared" si="73"/>
        <v/>
      </c>
      <c r="BS331" s="247" t="str">
        <f t="shared" si="74"/>
        <v/>
      </c>
    </row>
    <row r="332" spans="7:71" x14ac:dyDescent="0.3">
      <c r="G332" s="169" t="str">
        <f t="shared" si="71"/>
        <v xml:space="preserve">  </v>
      </c>
      <c r="BF332" s="241" t="str">
        <f t="shared" si="72"/>
        <v/>
      </c>
      <c r="BM332" s="241" t="str">
        <f t="shared" si="73"/>
        <v/>
      </c>
      <c r="BS332" s="247" t="str">
        <f t="shared" si="74"/>
        <v/>
      </c>
    </row>
    <row r="333" spans="7:71" x14ac:dyDescent="0.3">
      <c r="G333" s="169" t="str">
        <f t="shared" si="71"/>
        <v xml:space="preserve">  </v>
      </c>
      <c r="BF333" s="241" t="str">
        <f t="shared" si="72"/>
        <v/>
      </c>
      <c r="BM333" s="241" t="str">
        <f t="shared" si="73"/>
        <v/>
      </c>
      <c r="BS333" s="247" t="str">
        <f t="shared" si="74"/>
        <v/>
      </c>
    </row>
    <row r="334" spans="7:71" x14ac:dyDescent="0.3">
      <c r="G334" s="169" t="str">
        <f t="shared" si="71"/>
        <v xml:space="preserve">  </v>
      </c>
      <c r="BF334" s="241" t="str">
        <f t="shared" si="72"/>
        <v/>
      </c>
      <c r="BM334" s="241" t="str">
        <f t="shared" si="73"/>
        <v/>
      </c>
      <c r="BS334" s="247" t="str">
        <f t="shared" si="74"/>
        <v/>
      </c>
    </row>
    <row r="335" spans="7:71" x14ac:dyDescent="0.3">
      <c r="G335" s="169" t="str">
        <f t="shared" si="71"/>
        <v xml:space="preserve">  </v>
      </c>
      <c r="BF335" s="241" t="str">
        <f t="shared" si="72"/>
        <v/>
      </c>
      <c r="BM335" s="241" t="str">
        <f t="shared" si="73"/>
        <v/>
      </c>
      <c r="BS335" s="247" t="str">
        <f t="shared" si="74"/>
        <v/>
      </c>
    </row>
    <row r="336" spans="7:71" x14ac:dyDescent="0.3">
      <c r="G336" s="169" t="str">
        <f t="shared" si="71"/>
        <v xml:space="preserve">  </v>
      </c>
      <c r="BF336" s="241" t="str">
        <f t="shared" si="72"/>
        <v/>
      </c>
      <c r="BM336" s="241" t="str">
        <f t="shared" si="73"/>
        <v/>
      </c>
      <c r="BS336" s="247" t="str">
        <f t="shared" si="74"/>
        <v/>
      </c>
    </row>
    <row r="337" spans="7:71" x14ac:dyDescent="0.3">
      <c r="G337" s="169" t="str">
        <f t="shared" si="71"/>
        <v xml:space="preserve">  </v>
      </c>
      <c r="BF337" s="241" t="str">
        <f t="shared" si="72"/>
        <v/>
      </c>
      <c r="BM337" s="241" t="str">
        <f t="shared" si="73"/>
        <v/>
      </c>
      <c r="BS337" s="247" t="str">
        <f t="shared" si="74"/>
        <v/>
      </c>
    </row>
    <row r="338" spans="7:71" x14ac:dyDescent="0.3">
      <c r="G338" s="169" t="str">
        <f t="shared" si="71"/>
        <v xml:space="preserve">  </v>
      </c>
      <c r="BF338" s="241" t="str">
        <f t="shared" si="72"/>
        <v/>
      </c>
      <c r="BM338" s="241" t="str">
        <f t="shared" si="73"/>
        <v/>
      </c>
      <c r="BS338" s="247" t="str">
        <f t="shared" si="74"/>
        <v/>
      </c>
    </row>
    <row r="339" spans="7:71" x14ac:dyDescent="0.3">
      <c r="G339" s="169" t="str">
        <f t="shared" si="71"/>
        <v xml:space="preserve">  </v>
      </c>
      <c r="BF339" s="241" t="str">
        <f t="shared" si="72"/>
        <v/>
      </c>
      <c r="BM339" s="241" t="str">
        <f t="shared" si="73"/>
        <v/>
      </c>
    </row>
    <row r="340" spans="7:71" x14ac:dyDescent="0.3">
      <c r="G340" s="169" t="str">
        <f t="shared" si="71"/>
        <v xml:space="preserve">  </v>
      </c>
      <c r="BF340" s="241" t="str">
        <f t="shared" si="72"/>
        <v/>
      </c>
      <c r="BM340" s="241" t="str">
        <f t="shared" si="73"/>
        <v/>
      </c>
    </row>
    <row r="341" spans="7:71" x14ac:dyDescent="0.3">
      <c r="G341" s="169" t="str">
        <f t="shared" si="71"/>
        <v xml:space="preserve">  </v>
      </c>
      <c r="BF341" s="241" t="str">
        <f t="shared" si="72"/>
        <v/>
      </c>
      <c r="BM341" s="241" t="str">
        <f t="shared" si="73"/>
        <v/>
      </c>
    </row>
    <row r="342" spans="7:71" x14ac:dyDescent="0.3">
      <c r="G342" s="169" t="str">
        <f t="shared" si="71"/>
        <v xml:space="preserve">  </v>
      </c>
      <c r="BF342" s="241" t="str">
        <f t="shared" si="72"/>
        <v/>
      </c>
      <c r="BM342" s="241" t="str">
        <f t="shared" si="73"/>
        <v/>
      </c>
    </row>
    <row r="343" spans="7:71" x14ac:dyDescent="0.3">
      <c r="G343" s="169" t="str">
        <f t="shared" si="71"/>
        <v xml:space="preserve">  </v>
      </c>
      <c r="BF343" s="241" t="str">
        <f t="shared" si="72"/>
        <v/>
      </c>
      <c r="BM343" s="241" t="str">
        <f t="shared" si="73"/>
        <v/>
      </c>
    </row>
    <row r="344" spans="7:71" x14ac:dyDescent="0.3">
      <c r="G344" s="169" t="str">
        <f t="shared" si="71"/>
        <v xml:space="preserve">  </v>
      </c>
      <c r="BF344" s="241" t="str">
        <f t="shared" si="72"/>
        <v/>
      </c>
      <c r="BM344" s="241" t="str">
        <f t="shared" si="73"/>
        <v/>
      </c>
    </row>
    <row r="345" spans="7:71" x14ac:dyDescent="0.3">
      <c r="G345" s="169" t="str">
        <f t="shared" si="71"/>
        <v xml:space="preserve">  </v>
      </c>
      <c r="BF345" s="241" t="str">
        <f t="shared" si="72"/>
        <v/>
      </c>
      <c r="BM345" s="241" t="str">
        <f t="shared" si="73"/>
        <v/>
      </c>
    </row>
    <row r="346" spans="7:71" x14ac:dyDescent="0.3">
      <c r="G346" s="169" t="str">
        <f t="shared" si="71"/>
        <v xml:space="preserve">  </v>
      </c>
      <c r="BF346" s="241" t="str">
        <f t="shared" si="72"/>
        <v/>
      </c>
      <c r="BM346" s="241" t="str">
        <f t="shared" si="73"/>
        <v/>
      </c>
    </row>
    <row r="347" spans="7:71" x14ac:dyDescent="0.3">
      <c r="G347" s="169" t="str">
        <f t="shared" si="71"/>
        <v xml:space="preserve">  </v>
      </c>
      <c r="BF347" s="241" t="str">
        <f t="shared" si="72"/>
        <v/>
      </c>
      <c r="BM347" s="241" t="str">
        <f t="shared" si="73"/>
        <v/>
      </c>
    </row>
    <row r="348" spans="7:71" x14ac:dyDescent="0.3">
      <c r="G348" s="169" t="str">
        <f t="shared" si="71"/>
        <v xml:space="preserve">  </v>
      </c>
      <c r="BF348" s="241" t="str">
        <f t="shared" si="72"/>
        <v/>
      </c>
      <c r="BM348" s="241" t="str">
        <f t="shared" si="73"/>
        <v/>
      </c>
    </row>
    <row r="349" spans="7:71" x14ac:dyDescent="0.3">
      <c r="G349" s="169" t="str">
        <f t="shared" si="71"/>
        <v xml:space="preserve">  </v>
      </c>
      <c r="BF349" s="241" t="str">
        <f t="shared" si="72"/>
        <v/>
      </c>
    </row>
    <row r="350" spans="7:71" x14ac:dyDescent="0.3">
      <c r="G350" s="169" t="str">
        <f t="shared" si="71"/>
        <v xml:space="preserve">  </v>
      </c>
      <c r="BF350" s="241" t="str">
        <f t="shared" si="72"/>
        <v/>
      </c>
    </row>
    <row r="351" spans="7:71" x14ac:dyDescent="0.3">
      <c r="G351" s="169" t="str">
        <f t="shared" si="71"/>
        <v xml:space="preserve">  </v>
      </c>
    </row>
    <row r="352" spans="7:71" x14ac:dyDescent="0.3">
      <c r="G352" s="169" t="str">
        <f t="shared" si="71"/>
        <v xml:space="preserve">  </v>
      </c>
    </row>
    <row r="353" spans="7:7" x14ac:dyDescent="0.3">
      <c r="G353" s="169" t="str">
        <f t="shared" si="71"/>
        <v xml:space="preserve">  </v>
      </c>
    </row>
    <row r="354" spans="7:7" x14ac:dyDescent="0.3">
      <c r="G354" s="169" t="str">
        <f t="shared" si="71"/>
        <v xml:space="preserve">  </v>
      </c>
    </row>
    <row r="499" spans="9:12" x14ac:dyDescent="0.3">
      <c r="I499" s="169" t="s">
        <v>259</v>
      </c>
      <c r="L499" s="171" t="s">
        <v>270</v>
      </c>
    </row>
    <row r="500" spans="9:12" x14ac:dyDescent="0.3">
      <c r="I500" s="169" t="s">
        <v>111</v>
      </c>
      <c r="L500" s="171" t="s">
        <v>156</v>
      </c>
    </row>
    <row r="501" spans="9:12" x14ac:dyDescent="0.3">
      <c r="L501" s="171" t="s">
        <v>271</v>
      </c>
    </row>
    <row r="502" spans="9:12" x14ac:dyDescent="0.3">
      <c r="L502" s="171" t="s">
        <v>272</v>
      </c>
    </row>
    <row r="503" spans="9:12" x14ac:dyDescent="0.3">
      <c r="L503" s="171" t="s">
        <v>273</v>
      </c>
    </row>
    <row r="504" spans="9:12" x14ac:dyDescent="0.3">
      <c r="L504" s="171" t="s">
        <v>274</v>
      </c>
    </row>
    <row r="505" spans="9:12" x14ac:dyDescent="0.3">
      <c r="L505" s="171" t="s">
        <v>275</v>
      </c>
    </row>
    <row r="506" spans="9:12" x14ac:dyDescent="0.3">
      <c r="L506" s="171" t="s">
        <v>105</v>
      </c>
    </row>
  </sheetData>
  <mergeCells count="15">
    <mergeCell ref="EY1:FD1"/>
    <mergeCell ref="BY1:CA1"/>
    <mergeCell ref="EK1:EM1"/>
    <mergeCell ref="EA1:EC1"/>
    <mergeCell ref="ED1:EG1"/>
    <mergeCell ref="CF1:CH1"/>
    <mergeCell ref="CO1:CR1"/>
    <mergeCell ref="CV1:CX1"/>
    <mergeCell ref="CB1:CD1"/>
    <mergeCell ref="D1:F1"/>
    <mergeCell ref="U1:AC1"/>
    <mergeCell ref="AR1:AX1"/>
    <mergeCell ref="EN1:EO1"/>
    <mergeCell ref="EQ1:ER1"/>
    <mergeCell ref="CS1:CU1"/>
  </mergeCells>
  <dataValidations count="24">
    <dataValidation type="list" allowBlank="1" showInputMessage="1" showErrorMessage="1" sqref="AK3:AK301" xr:uid="{00000000-0002-0000-0D00-000000000000}">
      <formula1>$AK$302:$AK$309</formula1>
    </dataValidation>
    <dataValidation type="list" allowBlank="1" showInputMessage="1" showErrorMessage="1" sqref="CK42 CK15 CI3:CI301" xr:uid="{00000000-0002-0000-0D00-000001000000}">
      <formula1>$CI$302:$CI$303</formula1>
    </dataValidation>
    <dataValidation type="list" allowBlank="1" showInputMessage="1" showErrorMessage="1" sqref="CJ3:CJ301" xr:uid="{00000000-0002-0000-0D00-000002000000}">
      <formula1>$CJ$302:$CJ$304</formula1>
    </dataValidation>
    <dataValidation type="list" allowBlank="1" showInputMessage="1" showErrorMessage="1" sqref="CL3:CL301" xr:uid="{00000000-0002-0000-0D00-000003000000}">
      <formula1>$CL$302:$CL$303</formula1>
    </dataValidation>
    <dataValidation type="list" allowBlank="1" showInputMessage="1" showErrorMessage="1" sqref="CM3:CM301" xr:uid="{00000000-0002-0000-0D00-000004000000}">
      <formula1>$CM$302:$CM$303</formula1>
    </dataValidation>
    <dataValidation type="list" allowBlank="1" showInputMessage="1" showErrorMessage="1" sqref="CX3:CX301" xr:uid="{00000000-0002-0000-0D00-000005000000}">
      <formula1>$CX$302:$CX$307</formula1>
    </dataValidation>
    <dataValidation type="list" allowBlank="1" showInputMessage="1" showErrorMessage="1" sqref="CZ3:CZ301" xr:uid="{00000000-0002-0000-0D00-000006000000}">
      <formula1>$CZ$302:$CZ$303</formula1>
    </dataValidation>
    <dataValidation type="list" allowBlank="1" showInputMessage="1" showErrorMessage="1" sqref="DB3:DB301" xr:uid="{00000000-0002-0000-0D00-000007000000}">
      <formula1>$DB$302:$DB$305</formula1>
    </dataValidation>
    <dataValidation type="list" allowBlank="1" showInputMessage="1" showErrorMessage="1" sqref="DE3:DE301" xr:uid="{00000000-0002-0000-0D00-000008000000}">
      <formula1>$DE$302:$DE$307</formula1>
    </dataValidation>
    <dataValidation type="list" allowBlank="1" showInputMessage="1" showErrorMessage="1" sqref="DF3:DF301" xr:uid="{00000000-0002-0000-0D00-000009000000}">
      <formula1>$DF$302:$DF$308</formula1>
    </dataValidation>
    <dataValidation type="list" allowBlank="1" showInputMessage="1" showErrorMessage="1" sqref="DG3:DG301" xr:uid="{00000000-0002-0000-0D00-00000A000000}">
      <formula1>$DG$302:$DG$306</formula1>
    </dataValidation>
    <dataValidation type="list" allowBlank="1" showInputMessage="1" showErrorMessage="1" sqref="DH3:DH301" xr:uid="{00000000-0002-0000-0D00-00000B000000}">
      <formula1>$DH$302:$DH$306</formula1>
    </dataValidation>
    <dataValidation type="list" allowBlank="1" showInputMessage="1" showErrorMessage="1" sqref="DI3:DI301" xr:uid="{00000000-0002-0000-0D00-00000C000000}">
      <formula1>$DI$302:$DI$307</formula1>
    </dataValidation>
    <dataValidation type="list" allowBlank="1" showInputMessage="1" showErrorMessage="1" sqref="DJ3:DJ301" xr:uid="{00000000-0002-0000-0D00-00000D000000}">
      <formula1>$DJ$302:$DJ$308</formula1>
    </dataValidation>
    <dataValidation type="list" allowBlank="1" showInputMessage="1" showErrorMessage="1" sqref="DK3:DK301" xr:uid="{00000000-0002-0000-0D00-00000E000000}">
      <formula1>$DK$302:$DK$303</formula1>
    </dataValidation>
    <dataValidation type="list" allowBlank="1" showInputMessage="1" showErrorMessage="1" sqref="I3:I500" xr:uid="{00000000-0002-0000-0D00-00000F000000}">
      <formula1>$I$499:$I$500</formula1>
    </dataValidation>
    <dataValidation type="list" allowBlank="1" showInputMessage="1" showErrorMessage="1" sqref="DR14:DR15 DR42:DR301 DR3:DR12 DR21 DR17 DR23 DR25:DR37 DR19 DR39:DR40" xr:uid="{00000000-0002-0000-0D00-000010000000}">
      <formula1>$DR$302:$DR$305</formula1>
    </dataValidation>
    <dataValidation type="list" allowBlank="1" showInputMessage="1" showErrorMessage="1" sqref="L1:L1048576" xr:uid="{00000000-0002-0000-0D00-000011000000}">
      <formula1>$L$499:$L$506</formula1>
    </dataValidation>
    <dataValidation type="list" allowBlank="1" showInputMessage="1" showErrorMessage="1" sqref="EG3:EG101 EG103:EG130" xr:uid="{00000000-0002-0000-0D00-000012000000}">
      <formula1>$FM$1098:$FM$1101</formula1>
    </dataValidation>
    <dataValidation type="list" allowBlank="1" showInputMessage="1" showErrorMessage="1" sqref="EF3:EF101 EF103:EF130" xr:uid="{00000000-0002-0000-0D00-000013000000}">
      <formula1>$FL$1098:$FL$1102</formula1>
    </dataValidation>
    <dataValidation type="list" allowBlank="1" showInputMessage="1" showErrorMessage="1" sqref="ED3:ED196" xr:uid="{00000000-0002-0000-0D00-000014000000}">
      <formula1>$ED$192:$ED$196</formula1>
    </dataValidation>
    <dataValidation type="list" allowBlank="1" showInputMessage="1" showErrorMessage="1" sqref="DR22 DP3:DP301" xr:uid="{00000000-0002-0000-0D00-000015000000}">
      <formula1>$DP$302:$DP$307</formula1>
    </dataValidation>
    <dataValidation type="list" allowBlank="1" showInputMessage="1" showErrorMessage="1" sqref="CW3:CW301" xr:uid="{00000000-0002-0000-0D00-000016000000}">
      <formula1>$CW$302:$CW$312</formula1>
    </dataValidation>
    <dataValidation type="list" allowBlank="1" showInputMessage="1" showErrorMessage="1" sqref="CY3:CY301" xr:uid="{00000000-0002-0000-0D00-000017000000}">
      <formula1>$CY$302:$CY$306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V38"/>
  <sheetViews>
    <sheetView view="pageLayout" zoomScale="130" zoomScaleNormal="100" zoomScalePageLayoutView="130" workbookViewId="0">
      <selection activeCell="O19" sqref="O18:O19"/>
    </sheetView>
  </sheetViews>
  <sheetFormatPr baseColWidth="10" defaultColWidth="11.44140625" defaultRowHeight="10.199999999999999" x14ac:dyDescent="0.2"/>
  <cols>
    <col min="1" max="1" width="11.33203125" style="154" customWidth="1"/>
    <col min="2" max="2" width="8.88671875" style="154" customWidth="1"/>
    <col min="3" max="3" width="5.109375" style="154" customWidth="1"/>
    <col min="4" max="4" width="5.88671875" style="154" customWidth="1"/>
    <col min="5" max="5" width="5" style="154" customWidth="1"/>
    <col min="6" max="6" width="5.5546875" style="154" customWidth="1"/>
    <col min="7" max="7" width="3.109375" style="154" customWidth="1"/>
    <col min="8" max="8" width="5.44140625" style="154" customWidth="1"/>
    <col min="9" max="10" width="5.109375" style="154" customWidth="1"/>
    <col min="11" max="11" width="5.33203125" style="154" customWidth="1"/>
    <col min="12" max="12" width="6" style="154" customWidth="1"/>
    <col min="13" max="13" width="5.109375" style="154" customWidth="1"/>
    <col min="14" max="14" width="5.6640625" style="154" customWidth="1"/>
    <col min="15" max="15" width="5.5546875" style="154" customWidth="1"/>
    <col min="16" max="16" width="6.109375" style="154" customWidth="1"/>
    <col min="17" max="17" width="5.88671875" style="154" customWidth="1"/>
    <col min="18" max="18" width="3.33203125" style="154" customWidth="1"/>
    <col min="19" max="24" width="7.44140625" style="154" customWidth="1"/>
    <col min="25" max="31" width="8.6640625" style="154" customWidth="1"/>
    <col min="32" max="70" width="5" style="154" customWidth="1"/>
    <col min="71" max="74" width="5" style="150" customWidth="1"/>
    <col min="75" max="16384" width="11.44140625" style="154"/>
  </cols>
  <sheetData>
    <row r="1" spans="1:17" ht="31.5" customHeight="1" x14ac:dyDescent="0.2">
      <c r="A1" s="664" t="s">
        <v>374</v>
      </c>
      <c r="B1" s="665"/>
      <c r="C1" s="665"/>
      <c r="D1" s="665"/>
      <c r="E1" s="666"/>
      <c r="F1" s="148"/>
      <c r="G1" s="146"/>
      <c r="H1" s="146" t="s">
        <v>22</v>
      </c>
      <c r="I1" s="146" t="s">
        <v>343</v>
      </c>
      <c r="J1" s="149" t="s">
        <v>344</v>
      </c>
      <c r="K1" s="149" t="s">
        <v>345</v>
      </c>
      <c r="L1" s="150"/>
      <c r="M1" s="151" t="s">
        <v>59</v>
      </c>
      <c r="N1" s="152"/>
      <c r="O1" s="153"/>
    </row>
    <row r="2" spans="1:17" ht="11.25" customHeight="1" x14ac:dyDescent="0.2">
      <c r="A2" s="146" t="s">
        <v>371</v>
      </c>
      <c r="B2" s="658">
        <f>B5-B3</f>
        <v>12</v>
      </c>
      <c r="C2" s="658"/>
      <c r="D2" s="146" t="s">
        <v>372</v>
      </c>
      <c r="E2" s="146">
        <f>COUNTIF(DATOS!L3:L300,"CIMFA EL ALTO")</f>
        <v>3</v>
      </c>
      <c r="G2" s="155" t="s">
        <v>59</v>
      </c>
      <c r="H2" s="146">
        <f>COUNTA(DATOS!CI3:CI300)</f>
        <v>1</v>
      </c>
      <c r="I2" s="146">
        <f>COUNTIFS(DATOS!CI3:CI300,"NO REACTIVO",DATOS!I3:I300,"MASCULINO")</f>
        <v>0</v>
      </c>
      <c r="J2" s="146">
        <f>COUNTIFS(DATOS!CI3:CI300,"NO REACTIVO",DATOS!I3:I300,"FEMENINO")</f>
        <v>1</v>
      </c>
      <c r="K2" s="146"/>
      <c r="M2" s="658" t="s">
        <v>353</v>
      </c>
      <c r="N2" s="658"/>
      <c r="O2" s="146">
        <f>COUNTA(DATOS!CI3:CI300)</f>
        <v>1</v>
      </c>
    </row>
    <row r="3" spans="1:17" ht="11.25" customHeight="1" x14ac:dyDescent="0.2">
      <c r="A3" s="146" t="s">
        <v>370</v>
      </c>
      <c r="B3" s="658">
        <f>COUNTA(DATOS!C3:C300)</f>
        <v>5</v>
      </c>
      <c r="C3" s="658"/>
      <c r="D3" s="146" t="s">
        <v>373</v>
      </c>
      <c r="E3" s="146">
        <f>COUNTIF(DATOS!L3:L300,"PAISE EL ALTO")</f>
        <v>13</v>
      </c>
      <c r="M3" s="658" t="s">
        <v>352</v>
      </c>
      <c r="N3" s="658"/>
      <c r="O3" s="146">
        <f>COUNTIFS(DATOS!CI3:CI300,"NO REACTIVO",DATOS!R3:R300,"EMB")</f>
        <v>0</v>
      </c>
    </row>
    <row r="4" spans="1:17" ht="9.75" customHeight="1" x14ac:dyDescent="0.2">
      <c r="A4" s="146"/>
      <c r="B4" s="659"/>
      <c r="C4" s="660"/>
      <c r="D4" s="146" t="s">
        <v>105</v>
      </c>
      <c r="E4" s="146">
        <f>E5-E3-E2</f>
        <v>1</v>
      </c>
    </row>
    <row r="5" spans="1:17" ht="11.25" customHeight="1" x14ac:dyDescent="0.2">
      <c r="A5" s="155" t="s">
        <v>22</v>
      </c>
      <c r="B5" s="658">
        <f>COUNTA(DATOS!I3:I300)</f>
        <v>17</v>
      </c>
      <c r="C5" s="658"/>
      <c r="D5" s="146" t="s">
        <v>22</v>
      </c>
      <c r="E5" s="146">
        <f>COUNTA(DATOS!I3:I300)</f>
        <v>17</v>
      </c>
      <c r="H5" s="157" t="s">
        <v>11</v>
      </c>
      <c r="I5" s="158" t="s">
        <v>366</v>
      </c>
      <c r="J5" s="158" t="s">
        <v>367</v>
      </c>
      <c r="K5" s="158" t="s">
        <v>354</v>
      </c>
      <c r="L5" s="158" t="s">
        <v>368</v>
      </c>
      <c r="M5" s="158" t="s">
        <v>299</v>
      </c>
      <c r="N5" s="158" t="s">
        <v>369</v>
      </c>
      <c r="O5" s="159" t="s">
        <v>300</v>
      </c>
      <c r="P5" s="158" t="s">
        <v>301</v>
      </c>
      <c r="Q5" s="158" t="s">
        <v>302</v>
      </c>
    </row>
    <row r="6" spans="1:17" ht="12" customHeight="1" x14ac:dyDescent="0.2">
      <c r="H6" s="146">
        <f>COUNTA(DATOS!U3:U999)</f>
        <v>14</v>
      </c>
      <c r="I6" s="146">
        <f>COUNTA(DATOS!Z3:Z999)</f>
        <v>12</v>
      </c>
      <c r="J6" s="146">
        <f>COUNTA(DATOS!AA3:AA999)</f>
        <v>13</v>
      </c>
      <c r="K6" s="146">
        <f>COUNTA(DATOS!AJ3:AJ999)</f>
        <v>12</v>
      </c>
      <c r="L6" s="146">
        <f>COUNTA(DATOS!AK3:AK300)</f>
        <v>0</v>
      </c>
      <c r="M6" s="146">
        <f>COUNTA(DATOS!AM3:AM300)</f>
        <v>170</v>
      </c>
      <c r="N6" s="146">
        <f>COUNTA(DATOS!AL3:AL300)</f>
        <v>0</v>
      </c>
      <c r="O6" s="156">
        <f>COUNTA(DATOS!AR3:AR300)</f>
        <v>119</v>
      </c>
      <c r="P6" s="146">
        <f>COUNTA(DATOS!AT3:AT300)</f>
        <v>119</v>
      </c>
      <c r="Q6" s="146">
        <f>COUNTA(DATOS!AV3:AV300)</f>
        <v>119</v>
      </c>
    </row>
    <row r="7" spans="1:17" ht="10.5" customHeight="1" x14ac:dyDescent="0.2">
      <c r="A7" s="146"/>
      <c r="B7" s="160" t="s">
        <v>351</v>
      </c>
      <c r="C7" s="160" t="s">
        <v>305</v>
      </c>
      <c r="D7" s="160" t="s">
        <v>306</v>
      </c>
      <c r="E7" s="160" t="s">
        <v>322</v>
      </c>
      <c r="F7" s="160" t="s">
        <v>22</v>
      </c>
    </row>
    <row r="8" spans="1:17" ht="10.5" customHeight="1" x14ac:dyDescent="0.2">
      <c r="A8" s="146" t="s">
        <v>263</v>
      </c>
      <c r="B8" s="146">
        <f>SUM(H6:O6,P6:Q6)</f>
        <v>578</v>
      </c>
      <c r="C8" s="146"/>
      <c r="D8" s="146"/>
      <c r="E8" s="146"/>
      <c r="F8" s="146">
        <f t="shared" ref="F8:F18" si="0">SUM(B8:E8)</f>
        <v>578</v>
      </c>
      <c r="G8" s="161"/>
      <c r="H8" s="158" t="s">
        <v>132</v>
      </c>
      <c r="I8" s="158" t="s">
        <v>117</v>
      </c>
      <c r="J8" s="158" t="s">
        <v>31</v>
      </c>
      <c r="K8" s="158" t="s">
        <v>304</v>
      </c>
      <c r="L8" s="158" t="s">
        <v>47</v>
      </c>
      <c r="M8" s="159" t="s">
        <v>33</v>
      </c>
      <c r="N8" s="158" t="s">
        <v>34</v>
      </c>
      <c r="O8" s="158" t="s">
        <v>35</v>
      </c>
      <c r="P8" s="158" t="s">
        <v>37</v>
      </c>
      <c r="Q8" s="158" t="s">
        <v>38</v>
      </c>
    </row>
    <row r="9" spans="1:17" ht="10.5" customHeight="1" x14ac:dyDescent="0.2">
      <c r="A9" s="146" t="s">
        <v>302</v>
      </c>
      <c r="B9" s="146">
        <f>COUNTA(DATOS!AV3:AV300)</f>
        <v>119</v>
      </c>
      <c r="C9" s="146"/>
      <c r="D9" s="146"/>
      <c r="E9" s="146"/>
      <c r="F9" s="146">
        <f t="shared" si="0"/>
        <v>119</v>
      </c>
      <c r="H9" s="146">
        <f>COUNTA(DATOS!BC3:BC300)</f>
        <v>14</v>
      </c>
      <c r="I9" s="146">
        <f>COUNTA(DATOS!BD3:BD300)</f>
        <v>13</v>
      </c>
      <c r="J9" s="146">
        <f>COUNTA(DATOS!BE3:BE300)</f>
        <v>0</v>
      </c>
      <c r="K9" s="146">
        <f>COUNTA(DATOS!BG3:BG300)</f>
        <v>4</v>
      </c>
      <c r="L9" s="146">
        <f>COUNTA(DATOS!BH3:BH300)</f>
        <v>0</v>
      </c>
      <c r="M9" s="156">
        <f>COUNTA(DATOS!BI3:BI300)</f>
        <v>10</v>
      </c>
      <c r="N9" s="146">
        <f>COUNTA(DATOS!BJ3:BJ300)</f>
        <v>10</v>
      </c>
      <c r="O9" s="146">
        <f>COUNTA(DATOS!BK3:BK300)</f>
        <v>6</v>
      </c>
      <c r="P9" s="146">
        <f>COUNTA(DATOS!BN3:BN300)</f>
        <v>7</v>
      </c>
      <c r="Q9" s="146">
        <f>COUNTA(DATOS!BO3:BO300)</f>
        <v>7</v>
      </c>
    </row>
    <row r="10" spans="1:17" ht="10.5" customHeight="1" x14ac:dyDescent="0.2">
      <c r="A10" s="146" t="s">
        <v>307</v>
      </c>
      <c r="B10" s="146">
        <f>SUM(H9:M9,H12:K12,H15:I15)</f>
        <v>53</v>
      </c>
      <c r="C10" s="146"/>
      <c r="D10" s="146"/>
      <c r="E10" s="146"/>
      <c r="F10" s="146">
        <f t="shared" si="0"/>
        <v>53</v>
      </c>
    </row>
    <row r="11" spans="1:17" ht="10.5" customHeight="1" x14ac:dyDescent="0.2">
      <c r="A11" s="146" t="s">
        <v>308</v>
      </c>
      <c r="B11" s="146"/>
      <c r="C11" s="146"/>
      <c r="D11" s="146">
        <f>SUM(J18:K18)</f>
        <v>6</v>
      </c>
      <c r="E11" s="146"/>
      <c r="F11" s="146">
        <f t="shared" si="0"/>
        <v>6</v>
      </c>
      <c r="H11" s="158" t="s">
        <v>39</v>
      </c>
      <c r="I11" s="158" t="s">
        <v>40</v>
      </c>
      <c r="J11" s="158" t="s">
        <v>42</v>
      </c>
      <c r="K11" s="159" t="s">
        <v>43</v>
      </c>
      <c r="L11" s="158" t="s">
        <v>44</v>
      </c>
      <c r="M11" s="158" t="s">
        <v>48</v>
      </c>
      <c r="N11" s="158" t="s">
        <v>309</v>
      </c>
      <c r="O11" s="158" t="s">
        <v>310</v>
      </c>
      <c r="P11" s="158" t="s">
        <v>311</v>
      </c>
      <c r="Q11" s="158" t="s">
        <v>355</v>
      </c>
    </row>
    <row r="12" spans="1:17" ht="10.5" customHeight="1" x14ac:dyDescent="0.2">
      <c r="A12" s="146" t="s">
        <v>314</v>
      </c>
      <c r="B12" s="146">
        <f>COUNTA(DATOS!CD3:CD300)</f>
        <v>0</v>
      </c>
      <c r="C12" s="146"/>
      <c r="D12" s="146">
        <f>COUNTA(DATOS!CD3:CD300)</f>
        <v>0</v>
      </c>
      <c r="E12" s="146"/>
      <c r="F12" s="146">
        <f t="shared" si="0"/>
        <v>0</v>
      </c>
      <c r="H12" s="146">
        <f>COUNTA(DATOS!BP3:BP300)</f>
        <v>0</v>
      </c>
      <c r="I12" s="146">
        <f>COUNTA(DATOS!BQ3:BQ300)</f>
        <v>4</v>
      </c>
      <c r="J12" s="146">
        <f>COUNTIF(DATOS!BS3:BS300,"&gt;1")</f>
        <v>2</v>
      </c>
      <c r="K12" s="156">
        <f>COUNTA(DATOS!BT3:BT300)</f>
        <v>6</v>
      </c>
      <c r="L12" s="146">
        <f>COUNTA(DATOS!BU3:BU300)</f>
        <v>10</v>
      </c>
      <c r="M12" s="146">
        <f>COUNTA(DATOS!BX3:BX300)</f>
        <v>0</v>
      </c>
      <c r="N12" s="146">
        <f>COUNTA(DATOS!BY3:BY300)</f>
        <v>1</v>
      </c>
      <c r="O12" s="146">
        <f>COUNTA(DATOS!BZ3:BZ300)</f>
        <v>1</v>
      </c>
      <c r="P12" s="146">
        <f>COUNTA(DATOS!CA3:CA300)</f>
        <v>1</v>
      </c>
      <c r="Q12" s="146">
        <f>COUNTA(DATOS!CB3:CB300)</f>
        <v>0</v>
      </c>
    </row>
    <row r="13" spans="1:17" ht="10.5" customHeight="1" x14ac:dyDescent="0.2">
      <c r="A13" s="146" t="s">
        <v>55</v>
      </c>
      <c r="B13" s="146">
        <f>SUM(J15:Q15,H18:I18)</f>
        <v>109</v>
      </c>
      <c r="C13" s="146"/>
      <c r="D13" s="146"/>
      <c r="E13" s="146"/>
      <c r="F13" s="146">
        <f t="shared" si="0"/>
        <v>109</v>
      </c>
    </row>
    <row r="14" spans="1:17" ht="10.5" customHeight="1" x14ac:dyDescent="0.2">
      <c r="A14" s="146" t="s">
        <v>303</v>
      </c>
      <c r="B14" s="146"/>
      <c r="C14" s="146">
        <f>SUM(M18:N18)</f>
        <v>2</v>
      </c>
      <c r="D14" s="146"/>
      <c r="E14" s="146"/>
      <c r="F14" s="146">
        <f t="shared" si="0"/>
        <v>2</v>
      </c>
      <c r="H14" s="158" t="s">
        <v>312</v>
      </c>
      <c r="I14" s="159" t="s">
        <v>313</v>
      </c>
      <c r="J14" s="158" t="s">
        <v>56</v>
      </c>
      <c r="K14" s="158" t="s">
        <v>57</v>
      </c>
      <c r="L14" s="158" t="s">
        <v>58</v>
      </c>
      <c r="M14" s="158" t="s">
        <v>59</v>
      </c>
      <c r="N14" s="158" t="s">
        <v>315</v>
      </c>
      <c r="O14" s="158" t="s">
        <v>61</v>
      </c>
      <c r="P14" s="158" t="s">
        <v>346</v>
      </c>
      <c r="Q14" s="158" t="s">
        <v>347</v>
      </c>
    </row>
    <row r="15" spans="1:17" ht="10.5" customHeight="1" x14ac:dyDescent="0.2">
      <c r="A15" s="146" t="s">
        <v>316</v>
      </c>
      <c r="B15" s="146"/>
      <c r="C15" s="146"/>
      <c r="D15" s="146"/>
      <c r="E15" s="146"/>
      <c r="F15" s="146">
        <f t="shared" si="0"/>
        <v>0</v>
      </c>
      <c r="H15" s="146">
        <f>COUNTA(DATOS!CC3:CC300)</f>
        <v>0</v>
      </c>
      <c r="I15" s="156">
        <f>COUNTA(DATOS!CD3:CD300)</f>
        <v>0</v>
      </c>
      <c r="J15" s="146">
        <f>COUNTA(DATOS!CF3:CF300)</f>
        <v>7</v>
      </c>
      <c r="K15" s="146">
        <f>COUNTA(DATOS!CG3:CG300)</f>
        <v>3</v>
      </c>
      <c r="L15" s="146">
        <f>COUNTA(DATOS!CH3:CH300)</f>
        <v>1</v>
      </c>
      <c r="M15" s="146">
        <f>COUNTA(DATOS!CI3:CI300)</f>
        <v>1</v>
      </c>
      <c r="N15" s="146">
        <f>COUNTA(DATOS!CJ3:CJ300)</f>
        <v>0</v>
      </c>
      <c r="O15" s="146">
        <f>COUNTA(DATOS!CK3:CK300)</f>
        <v>0</v>
      </c>
      <c r="P15" s="146">
        <f>COUNTA(DATOS!CL3:CL300)</f>
        <v>0</v>
      </c>
      <c r="Q15" s="146">
        <f>COUNTA(DATOS!CM3:CM300)</f>
        <v>0</v>
      </c>
    </row>
    <row r="16" spans="1:17" ht="10.5" customHeight="1" x14ac:dyDescent="0.2">
      <c r="A16" s="146" t="s">
        <v>317</v>
      </c>
      <c r="B16" s="146">
        <f>SUM(O15,J15:L15,I18,M15,N15,P15,Q15,H18,)</f>
        <v>109</v>
      </c>
      <c r="C16" s="146"/>
      <c r="D16" s="146"/>
      <c r="E16" s="146"/>
      <c r="F16" s="146">
        <f t="shared" si="0"/>
        <v>109</v>
      </c>
    </row>
    <row r="17" spans="1:24" ht="10.5" customHeight="1" x14ac:dyDescent="0.2">
      <c r="A17" s="146" t="s">
        <v>318</v>
      </c>
      <c r="B17" s="146">
        <f>SUM(M15:N15,P15,Q15,H18)</f>
        <v>1</v>
      </c>
      <c r="C17" s="146">
        <f>SUM(S20:U20)</f>
        <v>0</v>
      </c>
      <c r="D17" s="146"/>
      <c r="E17" s="146"/>
      <c r="F17" s="146">
        <f t="shared" si="0"/>
        <v>1</v>
      </c>
      <c r="H17" s="158" t="s">
        <v>348</v>
      </c>
      <c r="I17" s="158" t="s">
        <v>64</v>
      </c>
      <c r="J17" s="158" t="s">
        <v>320</v>
      </c>
      <c r="K17" s="158" t="s">
        <v>321</v>
      </c>
      <c r="L17" s="158" t="s">
        <v>349</v>
      </c>
      <c r="M17" s="158" t="s">
        <v>94</v>
      </c>
      <c r="N17" s="158" t="s">
        <v>350</v>
      </c>
      <c r="O17" s="158" t="s">
        <v>322</v>
      </c>
      <c r="P17" s="158" t="s">
        <v>323</v>
      </c>
    </row>
    <row r="18" spans="1:24" ht="10.5" customHeight="1" x14ac:dyDescent="0.2">
      <c r="A18" s="146" t="s">
        <v>319</v>
      </c>
      <c r="B18" s="146">
        <f>COUNTA(DATOS!#REF!)</f>
        <v>1</v>
      </c>
      <c r="C18" s="146"/>
      <c r="D18" s="146"/>
      <c r="E18" s="162"/>
      <c r="F18" s="146">
        <f t="shared" si="0"/>
        <v>1</v>
      </c>
      <c r="H18" s="146">
        <f>COUNTA(DATOS!CN3:CN300)</f>
        <v>0</v>
      </c>
      <c r="I18" s="146">
        <f>COUNTA(DATOS!CO3:CO300)</f>
        <v>97</v>
      </c>
      <c r="J18" s="146">
        <f>COUNTA(DATOS!CV3:CV300)</f>
        <v>3</v>
      </c>
      <c r="K18" s="146">
        <f>COUNTA(DATOS!DP3:DP300)</f>
        <v>3</v>
      </c>
      <c r="L18" s="146">
        <f>COUNTA(DATOS!EA3:EA300)</f>
        <v>0</v>
      </c>
      <c r="M18" s="146">
        <f>COUNTA(DATOS!#REF!)</f>
        <v>1</v>
      </c>
      <c r="N18" s="146">
        <f>COUNTA(DATOS!#REF!)</f>
        <v>1</v>
      </c>
      <c r="O18" s="162">
        <f>COUNTA(DATOS!ED3:ED150)</f>
        <v>0</v>
      </c>
      <c r="P18" s="162">
        <f>COUNTA(DATOS!EY3:EY300)</f>
        <v>0</v>
      </c>
    </row>
    <row r="19" spans="1:24" ht="10.5" customHeight="1" x14ac:dyDescent="0.2">
      <c r="A19" s="146" t="s">
        <v>22</v>
      </c>
      <c r="B19" s="146">
        <f>SUM(B8:B18)</f>
        <v>970</v>
      </c>
      <c r="C19" s="146">
        <f>SUM(C8:C18)</f>
        <v>2</v>
      </c>
      <c r="D19" s="146">
        <f>SUM(D8:D18)</f>
        <v>6</v>
      </c>
      <c r="E19" s="146">
        <f>SUM(E8:E18)</f>
        <v>0</v>
      </c>
      <c r="F19" s="146">
        <f>SUM(F8:F18)</f>
        <v>978</v>
      </c>
      <c r="H19" s="150"/>
      <c r="X19" s="150"/>
    </row>
    <row r="20" spans="1:24" ht="10.5" customHeight="1" x14ac:dyDescent="0.2">
      <c r="E20" s="154">
        <f>SUM(B19:E19)</f>
        <v>978</v>
      </c>
      <c r="H20" s="146"/>
      <c r="I20" s="155" t="s">
        <v>363</v>
      </c>
      <c r="J20" s="155" t="s">
        <v>364</v>
      </c>
      <c r="L20" s="146"/>
      <c r="M20" s="155" t="s">
        <v>363</v>
      </c>
      <c r="N20" s="155" t="s">
        <v>364</v>
      </c>
      <c r="X20" s="163"/>
    </row>
    <row r="21" spans="1:24" ht="10.5" customHeight="1" x14ac:dyDescent="0.2">
      <c r="A21" s="164" t="s">
        <v>324</v>
      </c>
      <c r="B21" s="147" t="s">
        <v>325</v>
      </c>
      <c r="C21" s="668" t="s">
        <v>326</v>
      </c>
      <c r="D21" s="668"/>
      <c r="E21" s="669" t="s">
        <v>327</v>
      </c>
      <c r="F21" s="670"/>
      <c r="H21" s="155" t="s">
        <v>11</v>
      </c>
      <c r="I21" s="146">
        <f>COUNTIF(DATOS!U3:U999,"&gt;59")</f>
        <v>3</v>
      </c>
      <c r="J21" s="146">
        <f>COUNTIF(DATOS!U3:U999,"&lt;44")</f>
        <v>0</v>
      </c>
      <c r="L21" s="155" t="s">
        <v>44</v>
      </c>
      <c r="M21" s="146">
        <f>COUNTIF(DATOS!BU3:BU300,"&gt;4,5")</f>
        <v>0</v>
      </c>
      <c r="N21" s="146">
        <f>COUNTIF(DATOS!BU3:BU300,"&lt;3,3")</f>
        <v>0</v>
      </c>
    </row>
    <row r="22" spans="1:24" ht="10.5" customHeight="1" x14ac:dyDescent="0.2">
      <c r="A22" s="146" t="s">
        <v>328</v>
      </c>
      <c r="B22" s="164" t="s">
        <v>329</v>
      </c>
      <c r="C22" s="658">
        <f>H9-E22</f>
        <v>13</v>
      </c>
      <c r="D22" s="658"/>
      <c r="E22" s="659">
        <f>COUNTIF(DATOS!BC3:BC300,"&gt;=110")</f>
        <v>1</v>
      </c>
      <c r="F22" s="660"/>
      <c r="H22" s="155" t="s">
        <v>12</v>
      </c>
      <c r="I22" s="146">
        <f>COUNTIF(DATOS!V3:V300,"&gt;19")</f>
        <v>3</v>
      </c>
      <c r="J22" s="146">
        <f>COUNTIF(DATOS!V3:V300,"&lt;15")</f>
        <v>2</v>
      </c>
      <c r="L22" s="155" t="s">
        <v>359</v>
      </c>
      <c r="M22" s="146">
        <f>COUNTIF(DATOS!BX3:BX300,"&gt;125")</f>
        <v>0</v>
      </c>
      <c r="N22" s="146"/>
    </row>
    <row r="23" spans="1:24" ht="10.5" customHeight="1" x14ac:dyDescent="0.2">
      <c r="A23" s="146"/>
      <c r="B23" s="164" t="s">
        <v>330</v>
      </c>
      <c r="C23" s="658">
        <f>COUNTIF(DATOS!BH3:BH300,"&lt;8,6")</f>
        <v>0</v>
      </c>
      <c r="D23" s="658"/>
      <c r="E23" s="659">
        <f>L9-C23</f>
        <v>0</v>
      </c>
      <c r="F23" s="660"/>
      <c r="G23" s="150"/>
      <c r="H23" s="155" t="s">
        <v>132</v>
      </c>
      <c r="I23" s="146">
        <f>COUNTIF(DATOS!BC3:BC300,"&gt;110")</f>
        <v>1</v>
      </c>
      <c r="J23" s="146">
        <f>COUNTIF(DATOS!BC3:BC300,"&lt;65")</f>
        <v>0</v>
      </c>
      <c r="L23" s="155" t="s">
        <v>37</v>
      </c>
      <c r="M23" s="146">
        <f>COUNTIF(DATOS!BN3:BN300,"&gt;40")</f>
        <v>1</v>
      </c>
      <c r="N23" s="146"/>
    </row>
    <row r="24" spans="1:24" ht="10.5" customHeight="1" x14ac:dyDescent="0.2">
      <c r="A24" s="146"/>
      <c r="B24" s="164" t="s">
        <v>331</v>
      </c>
      <c r="C24" s="658">
        <f>COUNTIF(DATOS!EY3:EY300,"&lt;=140")</f>
        <v>0</v>
      </c>
      <c r="D24" s="658"/>
      <c r="E24" s="659">
        <f>P18-C24</f>
        <v>0</v>
      </c>
      <c r="F24" s="660"/>
      <c r="G24" s="150"/>
      <c r="H24" s="155" t="s">
        <v>356</v>
      </c>
      <c r="I24" s="146">
        <f>COUNTIF(DATOS!BD3:BD300,"&gt;=1,2")</f>
        <v>0</v>
      </c>
      <c r="J24" s="146">
        <f>COUNTIF(DATOS!BD3:BD300,"&lt;0,4")</f>
        <v>0</v>
      </c>
      <c r="L24" s="155" t="s">
        <v>38</v>
      </c>
      <c r="M24" s="146">
        <f>COUNTIF(DATOS!BO3:BO300,"&gt;40")</f>
        <v>1</v>
      </c>
      <c r="N24" s="146"/>
    </row>
    <row r="25" spans="1:24" ht="10.5" customHeight="1" x14ac:dyDescent="0.2">
      <c r="A25" s="146" t="s">
        <v>332</v>
      </c>
      <c r="B25" s="164" t="s">
        <v>333</v>
      </c>
      <c r="C25" s="658">
        <f>M9-E25</f>
        <v>8</v>
      </c>
      <c r="D25" s="658"/>
      <c r="E25" s="659">
        <f>COUNTIF(DATOS!BI3:BI300,"&gt;200")</f>
        <v>2</v>
      </c>
      <c r="F25" s="660"/>
      <c r="G25" s="150"/>
      <c r="H25" s="155" t="s">
        <v>31</v>
      </c>
      <c r="I25" s="146">
        <f>COUNTIF(DATOS!BE3:BE300,"&gt;45")</f>
        <v>0</v>
      </c>
      <c r="J25" s="146">
        <f>COUNTIF(DATOS!BE3:BE300,"&lt;15")</f>
        <v>0</v>
      </c>
      <c r="L25" s="155" t="s">
        <v>360</v>
      </c>
      <c r="M25" s="146">
        <f>COUNTIF(DATOS!BP3:BP300,"&gt;306")</f>
        <v>0</v>
      </c>
      <c r="N25" s="146">
        <f>COUNTIF(DATOS!BP3:BP300,"&lt;64")</f>
        <v>0</v>
      </c>
    </row>
    <row r="26" spans="1:24" ht="10.5" customHeight="1" x14ac:dyDescent="0.2">
      <c r="A26" s="146"/>
      <c r="B26" s="164" t="s">
        <v>334</v>
      </c>
      <c r="C26" s="658">
        <f>N9-E26</f>
        <v>5</v>
      </c>
      <c r="D26" s="658"/>
      <c r="E26" s="659">
        <f>COUNTIF(DATOS!BJ3:BJ300,"&gt;150")</f>
        <v>5</v>
      </c>
      <c r="F26" s="660"/>
      <c r="G26" s="150"/>
      <c r="H26" s="155" t="s">
        <v>357</v>
      </c>
      <c r="I26" s="146">
        <f>COUNTIF(DATOS!BG3:BG300,"&gt;7")</f>
        <v>0</v>
      </c>
      <c r="J26" s="146">
        <f>COUNTIF(DATOS!BG3:BG300,"&lt;2,4")</f>
        <v>0</v>
      </c>
      <c r="L26" s="155" t="s">
        <v>361</v>
      </c>
      <c r="M26" s="146">
        <f>COUNTIF(DATOS!BS3:BS300,"&gt;1")</f>
        <v>2</v>
      </c>
      <c r="N26" s="146"/>
    </row>
    <row r="27" spans="1:24" ht="10.5" customHeight="1" x14ac:dyDescent="0.2">
      <c r="A27" s="146"/>
      <c r="B27" s="164" t="s">
        <v>335</v>
      </c>
      <c r="C27" s="658">
        <f>O9-E27</f>
        <v>1</v>
      </c>
      <c r="D27" s="658"/>
      <c r="E27" s="659">
        <f>COUNTIF(DATOS!BK3:BK300,"&lt;55")</f>
        <v>5</v>
      </c>
      <c r="F27" s="660"/>
      <c r="G27" s="150"/>
      <c r="H27" s="155" t="s">
        <v>358</v>
      </c>
      <c r="I27" s="146">
        <f>COUNTIF(DATOS!BI3:BI300,"&gt;200")</f>
        <v>2</v>
      </c>
      <c r="J27" s="146">
        <f>COUNTIF(DATOS!BJ3:BJ300,"&lt;120")</f>
        <v>3</v>
      </c>
      <c r="L27" s="155" t="s">
        <v>362</v>
      </c>
      <c r="M27" s="146">
        <f>COUNTIF(DATOS!BQ3:BQ300,"&gt;0,3")</f>
        <v>0</v>
      </c>
      <c r="N27" s="146"/>
    </row>
    <row r="28" spans="1:24" ht="10.5" customHeight="1" x14ac:dyDescent="0.2">
      <c r="A28" s="146"/>
      <c r="B28" s="164" t="s">
        <v>336</v>
      </c>
      <c r="C28" s="658">
        <f>O9-E28</f>
        <v>0</v>
      </c>
      <c r="D28" s="658"/>
      <c r="E28" s="658">
        <f>COUNTIF(DATOS!BL3:BL300,"&lt;150")</f>
        <v>6</v>
      </c>
      <c r="F28" s="658"/>
      <c r="G28" s="150"/>
      <c r="H28" s="155" t="s">
        <v>34</v>
      </c>
      <c r="I28" s="146">
        <f>COUNTIF(DATOS!BJ3:BJ300,"&gt;150")</f>
        <v>5</v>
      </c>
      <c r="J28" s="146">
        <f>COUNTIF(DATOS!BJ3:BJ300,"&lt;60")</f>
        <v>0</v>
      </c>
    </row>
    <row r="29" spans="1:24" ht="10.5" customHeight="1" x14ac:dyDescent="0.2">
      <c r="A29" s="146"/>
      <c r="B29" s="164" t="s">
        <v>337</v>
      </c>
      <c r="C29" s="658">
        <f>COUNTIF(DATOS!BM3:BM300,"&gt;80")</f>
        <v>0</v>
      </c>
      <c r="D29" s="658"/>
      <c r="E29" s="659">
        <f>COUNTIF(DATOS!BM3:BM300,"&lt;80")</f>
        <v>6</v>
      </c>
      <c r="F29" s="660"/>
      <c r="G29" s="150"/>
      <c r="H29" s="155" t="s">
        <v>35</v>
      </c>
      <c r="I29" s="146">
        <f>COUNTIF(DATOS!BK3:BK300,"&lt;55")</f>
        <v>5</v>
      </c>
      <c r="J29" s="146"/>
    </row>
    <row r="30" spans="1:24" ht="10.5" customHeight="1" x14ac:dyDescent="0.2">
      <c r="A30" s="164" t="s">
        <v>338</v>
      </c>
      <c r="B30" s="146" t="s">
        <v>339</v>
      </c>
      <c r="C30" s="658">
        <f>COUNTIF(DATOS!BD3:BD300,"&lt;=1,2")</f>
        <v>0</v>
      </c>
      <c r="D30" s="658"/>
      <c r="E30" s="659">
        <f>COUNTIF(DATOS!BD3:BD300,"&gt;=1,2")</f>
        <v>0</v>
      </c>
      <c r="F30" s="660"/>
      <c r="G30" s="150"/>
      <c r="H30" s="155" t="s">
        <v>43</v>
      </c>
      <c r="I30" s="146">
        <f>COUNTIF(DATOS!BT3:BT300,"&gt;8,3")</f>
        <v>0</v>
      </c>
      <c r="J30" s="146">
        <f>COUNTIF(DATOS!BT3:BT300,"&lt;6,4")</f>
        <v>0</v>
      </c>
      <c r="L30" s="661" t="s">
        <v>365</v>
      </c>
      <c r="M30" s="662"/>
      <c r="N30" s="663"/>
      <c r="O30" s="667">
        <f>DATOS!P3</f>
        <v>46156</v>
      </c>
      <c r="P30" s="667"/>
      <c r="Q30" s="667"/>
    </row>
    <row r="31" spans="1:24" ht="10.5" customHeight="1" x14ac:dyDescent="0.2">
      <c r="A31" s="164"/>
      <c r="B31" s="146" t="s">
        <v>340</v>
      </c>
      <c r="C31" s="658">
        <f>K18-E31</f>
        <v>3</v>
      </c>
      <c r="D31" s="658"/>
      <c r="E31" s="659">
        <f>COUNTIF(DATOS!DP3:DP300,"ABUNDANTES")</f>
        <v>0</v>
      </c>
      <c r="F31" s="660"/>
      <c r="G31" s="150"/>
    </row>
    <row r="32" spans="1:24" ht="10.5" customHeight="1" x14ac:dyDescent="0.2">
      <c r="A32" s="164"/>
      <c r="B32" s="146" t="s">
        <v>341</v>
      </c>
      <c r="C32" s="658">
        <f>COUNTA(DATOS!EA3:EA300)</f>
        <v>0</v>
      </c>
      <c r="D32" s="658"/>
      <c r="E32" s="659">
        <f>COUNTIF(DATOS!EA3:EA300,"&gt;=30")</f>
        <v>0</v>
      </c>
      <c r="F32" s="660"/>
      <c r="G32" s="150"/>
      <c r="H32" s="150"/>
    </row>
    <row r="33" spans="1:8" ht="10.5" customHeight="1" x14ac:dyDescent="0.2">
      <c r="A33" s="164"/>
      <c r="B33" s="146" t="s">
        <v>342</v>
      </c>
      <c r="C33" s="658">
        <f>Q12-E33</f>
        <v>0</v>
      </c>
      <c r="D33" s="658"/>
      <c r="E33" s="659">
        <f>COUNTIF(DATOS!CB3:CB300,"&gt;140")</f>
        <v>0</v>
      </c>
      <c r="F33" s="660"/>
      <c r="G33" s="150"/>
      <c r="H33" s="150"/>
    </row>
    <row r="34" spans="1:8" ht="12" customHeight="1" x14ac:dyDescent="0.2"/>
    <row r="35" spans="1:8" ht="12" customHeight="1" x14ac:dyDescent="0.2"/>
    <row r="36" spans="1:8" ht="12" customHeight="1" x14ac:dyDescent="0.2"/>
    <row r="37" spans="1:8" ht="12" customHeight="1" x14ac:dyDescent="0.2"/>
    <row r="38" spans="1:8" ht="12" customHeight="1" x14ac:dyDescent="0.2"/>
  </sheetData>
  <sheetProtection insertColumns="0" insertRows="0" insertHyperlinks="0" deleteColumns="0" deleteRows="0" selectLockedCells="1"/>
  <mergeCells count="35">
    <mergeCell ref="A1:E1"/>
    <mergeCell ref="O30:Q30"/>
    <mergeCell ref="M2:N2"/>
    <mergeCell ref="M3:N3"/>
    <mergeCell ref="C21:D21"/>
    <mergeCell ref="C22:D22"/>
    <mergeCell ref="C23:D23"/>
    <mergeCell ref="E28:F28"/>
    <mergeCell ref="B5:C5"/>
    <mergeCell ref="E23:F23"/>
    <mergeCell ref="E22:F22"/>
    <mergeCell ref="E21:F21"/>
    <mergeCell ref="C24:D24"/>
    <mergeCell ref="C25:D25"/>
    <mergeCell ref="C26:D26"/>
    <mergeCell ref="C27:D27"/>
    <mergeCell ref="E26:F26"/>
    <mergeCell ref="E25:F25"/>
    <mergeCell ref="E24:F24"/>
    <mergeCell ref="L30:N30"/>
    <mergeCell ref="B2:C2"/>
    <mergeCell ref="B3:C3"/>
    <mergeCell ref="B4:C4"/>
    <mergeCell ref="E27:F27"/>
    <mergeCell ref="C33:D33"/>
    <mergeCell ref="C29:D29"/>
    <mergeCell ref="C28:D28"/>
    <mergeCell ref="E33:F33"/>
    <mergeCell ref="C32:D32"/>
    <mergeCell ref="E32:F32"/>
    <mergeCell ref="E29:F29"/>
    <mergeCell ref="C30:D30"/>
    <mergeCell ref="E30:F30"/>
    <mergeCell ref="C31:D31"/>
    <mergeCell ref="E31:F31"/>
  </mergeCells>
  <pageMargins left="0.31496062992125984" right="3.937007874015748E-2" top="0.27559055118110237" bottom="0.15748031496062992" header="0.31496062992125984" footer="0.31496062992125984"/>
  <pageSetup paperSize="6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6"/>
  <sheetViews>
    <sheetView view="pageLayout" zoomScaleNormal="100" zoomScaleSheetLayoutView="145" workbookViewId="0">
      <selection activeCell="G8" sqref="G8"/>
    </sheetView>
  </sheetViews>
  <sheetFormatPr baseColWidth="10" defaultRowHeight="14.4" x14ac:dyDescent="0.3"/>
  <cols>
    <col min="1" max="1" width="4.44140625" customWidth="1"/>
    <col min="2" max="2" width="7.44140625" style="96" customWidth="1"/>
    <col min="3" max="3" width="30.5546875" customWidth="1"/>
    <col min="4" max="4" width="6.33203125" style="97" customWidth="1"/>
    <col min="5" max="5" width="12.5546875" style="98" customWidth="1"/>
    <col min="6" max="6" width="13" style="95" customWidth="1"/>
    <col min="7" max="7" width="19.33203125" style="95" customWidth="1"/>
    <col min="8" max="8" width="22.6640625" style="95" bestFit="1" customWidth="1"/>
    <col min="9" max="9" width="14.33203125" style="94" customWidth="1"/>
    <col min="12" max="12" width="17.109375" customWidth="1"/>
  </cols>
  <sheetData>
    <row r="1" spans="1:10" ht="25.8" x14ac:dyDescent="0.5">
      <c r="C1" s="671" t="s">
        <v>281</v>
      </c>
      <c r="D1" s="671"/>
      <c r="E1" s="671"/>
      <c r="F1" s="671"/>
      <c r="G1" s="671"/>
      <c r="H1" s="671"/>
      <c r="I1" s="99">
        <f>DATOS!P3</f>
        <v>46156</v>
      </c>
    </row>
    <row r="3" spans="1:10" ht="28.8" x14ac:dyDescent="0.3">
      <c r="A3" s="106" t="s">
        <v>276</v>
      </c>
      <c r="B3" s="106" t="s">
        <v>280</v>
      </c>
      <c r="C3" s="106" t="s">
        <v>5</v>
      </c>
      <c r="D3" s="107" t="s">
        <v>278</v>
      </c>
      <c r="E3" s="108" t="s">
        <v>279</v>
      </c>
      <c r="F3" s="107" t="s">
        <v>277</v>
      </c>
      <c r="G3" s="107" t="s">
        <v>142</v>
      </c>
      <c r="H3" s="107" t="s">
        <v>6</v>
      </c>
      <c r="I3" s="109" t="s">
        <v>282</v>
      </c>
      <c r="J3" s="107"/>
    </row>
    <row r="4" spans="1:10" x14ac:dyDescent="0.3">
      <c r="A4" s="1">
        <f>DATOS!B3</f>
        <v>1</v>
      </c>
      <c r="B4" s="100">
        <f>DATOS!C3</f>
        <v>0</v>
      </c>
      <c r="C4" s="101" t="str">
        <f>DATOS!G3</f>
        <v>SIRPA SIRPA ANCELMO</v>
      </c>
      <c r="D4" s="102">
        <f>DATOS!H3</f>
        <v>72</v>
      </c>
      <c r="E4" s="103" t="str">
        <f>DATOS!I3</f>
        <v>MASCULINO</v>
      </c>
      <c r="F4" s="104" t="str">
        <f>DATOS!J3</f>
        <v>530421 SSA</v>
      </c>
      <c r="G4" s="104" t="str">
        <f>DATOS!L3</f>
        <v>PAISE EL ALTO</v>
      </c>
      <c r="H4" s="104" t="str">
        <f>DATOS!N3</f>
        <v>DR. ZAMBRANA</v>
      </c>
      <c r="I4" s="105"/>
      <c r="J4" s="1"/>
    </row>
    <row r="5" spans="1:10" x14ac:dyDescent="0.3">
      <c r="A5" s="1">
        <f>DATOS!B4</f>
        <v>2</v>
      </c>
      <c r="B5" s="100">
        <f>DATOS!C4</f>
        <v>0</v>
      </c>
      <c r="C5" s="101" t="str">
        <f>DATOS!G4</f>
        <v>CONDORI LEOCA CONZI AMALIA</v>
      </c>
      <c r="D5" s="102">
        <f>DATOS!H4</f>
        <v>47</v>
      </c>
      <c r="E5" s="103" t="str">
        <f>DATOS!I4</f>
        <v>FEMENINO</v>
      </c>
      <c r="F5" s="104" t="str">
        <f>DATOS!J4</f>
        <v>795222 CLC</v>
      </c>
      <c r="G5" s="104" t="str">
        <f>DATOS!L4</f>
        <v>PAISE EL ALTO</v>
      </c>
      <c r="H5" s="104" t="str">
        <f>DATOS!N4</f>
        <v>DR. CHAVARRIA</v>
      </c>
      <c r="I5" s="105"/>
      <c r="J5" s="1"/>
    </row>
    <row r="6" spans="1:10" x14ac:dyDescent="0.3">
      <c r="A6" s="1">
        <f>DATOS!B5</f>
        <v>3</v>
      </c>
      <c r="B6" s="100" t="str">
        <f>DATOS!C5</f>
        <v>X</v>
      </c>
      <c r="C6" s="101" t="str">
        <f>DATOS!G5</f>
        <v>SALLINAS ASQUICHO FELIPA</v>
      </c>
      <c r="D6" s="102">
        <f>DATOS!H5</f>
        <v>73</v>
      </c>
      <c r="E6" s="103" t="str">
        <f>DATOS!I5</f>
        <v>FEMENINO</v>
      </c>
      <c r="F6" s="104" t="str">
        <f>DATOS!J5</f>
        <v>800720 GSE</v>
      </c>
      <c r="G6" s="104" t="str">
        <f>DATOS!L5</f>
        <v>PAISE EL ALTO</v>
      </c>
      <c r="H6" s="104" t="str">
        <f>DATOS!N5</f>
        <v>DR. RADA</v>
      </c>
      <c r="I6" s="105"/>
      <c r="J6" s="1"/>
    </row>
    <row r="7" spans="1:10" x14ac:dyDescent="0.3">
      <c r="A7" s="1">
        <f>DATOS!B6</f>
        <v>4</v>
      </c>
      <c r="B7" s="100">
        <f>DATOS!C6</f>
        <v>0</v>
      </c>
      <c r="C7" s="101" t="str">
        <f>DATOS!G6</f>
        <v>CONDORI PACO JUAN</v>
      </c>
      <c r="D7" s="102">
        <f>DATOS!H6</f>
        <v>82</v>
      </c>
      <c r="E7" s="103" t="str">
        <f>DATOS!I6</f>
        <v>MASCULINO</v>
      </c>
      <c r="F7" s="104" t="str">
        <f>DATOS!J6</f>
        <v>430610 CPJ</v>
      </c>
      <c r="G7" s="104" t="str">
        <f>DATOS!L6</f>
        <v>PAISE EL ALTO</v>
      </c>
      <c r="H7" s="104" t="str">
        <f>DATOS!N6</f>
        <v>DR. ZAMBRANA</v>
      </c>
      <c r="I7" s="105"/>
      <c r="J7" s="1"/>
    </row>
    <row r="8" spans="1:10" x14ac:dyDescent="0.3">
      <c r="A8" s="1">
        <f>DATOS!B7</f>
        <v>5</v>
      </c>
      <c r="B8" s="100">
        <f>DATOS!C7</f>
        <v>0</v>
      </c>
      <c r="C8" s="101" t="str">
        <f>DATOS!G7</f>
        <v>COPA BENIZ JULIO RAUL</v>
      </c>
      <c r="D8" s="102">
        <f>DATOS!H7</f>
        <v>57</v>
      </c>
      <c r="E8" s="103" t="str">
        <f>DATOS!I7</f>
        <v>MASCULINO</v>
      </c>
      <c r="F8" s="104" t="str">
        <f>DATOS!J7</f>
        <v>680412 CBJ</v>
      </c>
      <c r="G8" s="104" t="str">
        <f>DATOS!L7</f>
        <v>PAISE EL ALTO</v>
      </c>
      <c r="H8" s="104" t="str">
        <f>DATOS!N7</f>
        <v>DR. ZAMBRANA</v>
      </c>
      <c r="I8" s="105"/>
      <c r="J8" s="1"/>
    </row>
    <row r="9" spans="1:10" x14ac:dyDescent="0.3">
      <c r="A9" s="1">
        <f>DATOS!B8</f>
        <v>6</v>
      </c>
      <c r="B9" s="100" t="str">
        <f>DATOS!C8</f>
        <v>X</v>
      </c>
      <c r="C9" s="101" t="str">
        <f>DATOS!G8</f>
        <v>MAMANI CANAVIRI ROSMERY</v>
      </c>
      <c r="D9" s="102">
        <f>DATOS!H8</f>
        <v>45</v>
      </c>
      <c r="E9" s="103" t="str">
        <f>DATOS!I8</f>
        <v>FEMENINO</v>
      </c>
      <c r="F9" s="104" t="str">
        <f>DATOS!J8</f>
        <v>770729 CTF</v>
      </c>
      <c r="G9" s="104" t="str">
        <f>DATOS!L8</f>
        <v>PAISE EL ALTO</v>
      </c>
      <c r="H9" s="104" t="str">
        <f>DATOS!N8</f>
        <v>DR. TARIFA</v>
      </c>
      <c r="I9" s="105"/>
      <c r="J9" s="1"/>
    </row>
    <row r="10" spans="1:10" x14ac:dyDescent="0.3">
      <c r="A10" s="1">
        <f>DATOS!B9</f>
        <v>7</v>
      </c>
      <c r="B10" s="100">
        <f>DATOS!C9</f>
        <v>0</v>
      </c>
      <c r="C10" s="101" t="str">
        <f>DATOS!G9</f>
        <v>ACERO ESPINAL MARIA ELENA</v>
      </c>
      <c r="D10" s="102">
        <f>DATOS!H9</f>
        <v>57</v>
      </c>
      <c r="E10" s="103" t="str">
        <f>DATOS!I9</f>
        <v>FEMENINO</v>
      </c>
      <c r="F10" s="104" t="str">
        <f>DATOS!J9</f>
        <v>685606 AEM</v>
      </c>
      <c r="G10" s="104" t="str">
        <f>DATOS!L9</f>
        <v>CIMFA EL ALTO</v>
      </c>
      <c r="H10" s="104" t="str">
        <f>DATOS!N9</f>
        <v>DRA. CASTILLO</v>
      </c>
      <c r="I10" s="105"/>
      <c r="J10" s="1"/>
    </row>
    <row r="11" spans="1:10" x14ac:dyDescent="0.3">
      <c r="A11" s="1">
        <f>DATOS!B10</f>
        <v>8</v>
      </c>
      <c r="B11" s="100">
        <f>DATOS!C10</f>
        <v>0</v>
      </c>
      <c r="C11" s="101" t="str">
        <f>DATOS!G10</f>
        <v>CHOQUE VILLCA AMALIA</v>
      </c>
      <c r="D11" s="102">
        <f>DATOS!H10</f>
        <v>67</v>
      </c>
      <c r="E11" s="103" t="str">
        <f>DATOS!I10</f>
        <v>FEMENINO</v>
      </c>
      <c r="F11" s="104" t="str">
        <f>DATOS!J10</f>
        <v>571031 RCQ</v>
      </c>
      <c r="G11" s="104" t="str">
        <f>DATOS!L10</f>
        <v>CIMFA EL ALTO</v>
      </c>
      <c r="H11" s="104" t="str">
        <f>DATOS!N10</f>
        <v>DR. MARQUEZ</v>
      </c>
      <c r="I11" s="105"/>
      <c r="J11" s="1"/>
    </row>
    <row r="12" spans="1:10" x14ac:dyDescent="0.3">
      <c r="A12" s="1">
        <f>DATOS!B11</f>
        <v>9</v>
      </c>
      <c r="B12" s="100">
        <f>DATOS!C11</f>
        <v>0</v>
      </c>
      <c r="C12" s="101" t="str">
        <f>DATOS!G11</f>
        <v>PAREDES CHOQUE POLICARPIO</v>
      </c>
      <c r="D12" s="102">
        <f>DATOS!H11</f>
        <v>59</v>
      </c>
      <c r="E12" s="103" t="str">
        <f>DATOS!I11</f>
        <v>MASCULINO</v>
      </c>
      <c r="F12" s="104" t="str">
        <f>DATOS!J11</f>
        <v>661207 PCP</v>
      </c>
      <c r="G12" s="104" t="str">
        <f>DATOS!L11</f>
        <v>PAISE EL ALTO</v>
      </c>
      <c r="H12" s="104" t="str">
        <f>DATOS!N11</f>
        <v>DR. ZAMBRANA</v>
      </c>
      <c r="I12" s="105"/>
      <c r="J12" s="1"/>
    </row>
    <row r="13" spans="1:10" x14ac:dyDescent="0.3">
      <c r="A13" s="1">
        <f>DATOS!B12</f>
        <v>10</v>
      </c>
      <c r="B13" s="100">
        <f>DATOS!C12</f>
        <v>0</v>
      </c>
      <c r="C13" s="101" t="str">
        <f>DATOS!G12</f>
        <v>CONTRERAS ALI OVIDIO</v>
      </c>
      <c r="D13" s="102">
        <f>DATOS!H12</f>
        <v>41</v>
      </c>
      <c r="E13" s="103" t="str">
        <f>DATOS!I12</f>
        <v>MASCULINO</v>
      </c>
      <c r="F13" s="104" t="str">
        <f>DATOS!J12</f>
        <v>850501 CAO</v>
      </c>
      <c r="G13" s="104" t="str">
        <f>DATOS!L12</f>
        <v>PAISE EL ALTO</v>
      </c>
      <c r="H13" s="104" t="str">
        <f>DATOS!N12</f>
        <v>DR. AGUAYO</v>
      </c>
      <c r="I13" s="105"/>
      <c r="J13" s="1"/>
    </row>
    <row r="14" spans="1:10" x14ac:dyDescent="0.3">
      <c r="A14" s="1">
        <f>DATOS!B13</f>
        <v>11</v>
      </c>
      <c r="B14" s="100">
        <f>DATOS!C13</f>
        <v>0</v>
      </c>
      <c r="C14" s="101" t="str">
        <f>DATOS!G13</f>
        <v>CHURA HUACOTO ANGELINO</v>
      </c>
      <c r="D14" s="102">
        <f>DATOS!H13</f>
        <v>68</v>
      </c>
      <c r="E14" s="103" t="str">
        <f>DATOS!I13</f>
        <v>MASCULINO</v>
      </c>
      <c r="F14" s="104" t="str">
        <f>DATOS!J13</f>
        <v>570805 CHA</v>
      </c>
      <c r="G14" s="104" t="str">
        <f>DATOS!L13</f>
        <v>PAISE EL ALTO</v>
      </c>
      <c r="H14" s="104" t="str">
        <f>DATOS!N13</f>
        <v>DR. ZAMBRANA</v>
      </c>
      <c r="I14" s="105"/>
      <c r="J14" s="1"/>
    </row>
    <row r="15" spans="1:10" x14ac:dyDescent="0.3">
      <c r="A15" s="1">
        <f>DATOS!B14</f>
        <v>12</v>
      </c>
      <c r="B15" s="100">
        <f>DATOS!C14</f>
        <v>0</v>
      </c>
      <c r="C15" s="101" t="str">
        <f>DATOS!G14</f>
        <v>TORREZ VARGAS DELIA</v>
      </c>
      <c r="D15" s="102">
        <f>DATOS!H14</f>
        <v>35</v>
      </c>
      <c r="E15" s="103" t="str">
        <f>DATOS!I14</f>
        <v>FEMENINO</v>
      </c>
      <c r="F15" s="104" t="str">
        <f>DATOS!J14</f>
        <v>890805 CCH</v>
      </c>
      <c r="G15" s="104" t="str">
        <f>DATOS!L14</f>
        <v>PAISE EL ALTO</v>
      </c>
      <c r="H15" s="104" t="str">
        <f>DATOS!N14</f>
        <v>DRA. CHAMBI</v>
      </c>
      <c r="I15" s="105"/>
      <c r="J15" s="1"/>
    </row>
    <row r="16" spans="1:10" x14ac:dyDescent="0.3">
      <c r="A16" s="1">
        <f>DATOS!B15</f>
        <v>13</v>
      </c>
      <c r="B16" s="100" t="str">
        <f>DATOS!C15</f>
        <v>X</v>
      </c>
      <c r="C16" s="101" t="str">
        <f>DATOS!G15</f>
        <v>ROJAS  ALANOCA RAQUEL</v>
      </c>
      <c r="D16" s="102">
        <f>DATOS!H15</f>
        <v>45</v>
      </c>
      <c r="E16" s="103" t="str">
        <f>DATOS!I15</f>
        <v>FEMENINO</v>
      </c>
      <c r="F16" s="104" t="str">
        <f>DATOS!J15</f>
        <v>805910 RAR</v>
      </c>
      <c r="G16" s="104" t="str">
        <f>DATOS!L15</f>
        <v>PAISE EL ALTO</v>
      </c>
      <c r="H16" s="104" t="str">
        <f>DATOS!N15</f>
        <v>DR. CHAVARRIA</v>
      </c>
      <c r="I16" s="105"/>
      <c r="J16" s="1"/>
    </row>
    <row r="17" spans="1:10" x14ac:dyDescent="0.3">
      <c r="A17" s="1">
        <f>DATOS!B16</f>
        <v>14</v>
      </c>
      <c r="B17" s="100" t="str">
        <f>DATOS!C16</f>
        <v>X</v>
      </c>
      <c r="C17" s="101" t="str">
        <f>DATOS!G16</f>
        <v>VARGAS ARUQUIPA MILLER</v>
      </c>
      <c r="D17" s="102">
        <f>DATOS!H16</f>
        <v>43</v>
      </c>
      <c r="E17" s="103" t="str">
        <f>DATOS!I16</f>
        <v>MASCULINO</v>
      </c>
      <c r="F17" s="104" t="str">
        <f>DATOS!J16</f>
        <v>820716 VAM</v>
      </c>
      <c r="G17" s="104" t="str">
        <f>DATOS!L16</f>
        <v>OTROS</v>
      </c>
      <c r="H17" s="104" t="str">
        <f>DATOS!N16</f>
        <v>DR. CHAPARRO</v>
      </c>
      <c r="I17" s="105"/>
      <c r="J17" s="1"/>
    </row>
    <row r="18" spans="1:10" x14ac:dyDescent="0.3">
      <c r="A18" s="1">
        <f>DATOS!B17</f>
        <v>15</v>
      </c>
      <c r="B18" s="100">
        <f>DATOS!C17</f>
        <v>0</v>
      </c>
      <c r="C18" s="101" t="str">
        <f>DATOS!G17</f>
        <v>YUJRA CACHI ALEJANDRO</v>
      </c>
      <c r="D18" s="102">
        <f>DATOS!H17</f>
        <v>45</v>
      </c>
      <c r="E18" s="103" t="str">
        <f>DATOS!I17</f>
        <v>MASCULINO</v>
      </c>
      <c r="F18" s="104" t="str">
        <f>DATOS!J17</f>
        <v>810101 YCA</v>
      </c>
      <c r="G18" s="104" t="str">
        <f>DATOS!L17</f>
        <v>PAISE EL ALTO</v>
      </c>
      <c r="H18" s="104" t="str">
        <f>DATOS!N17</f>
        <v>DR. CHAVARRIA</v>
      </c>
      <c r="I18" s="105"/>
      <c r="J18" s="1"/>
    </row>
    <row r="19" spans="1:10" x14ac:dyDescent="0.3">
      <c r="A19" s="1">
        <f>DATOS!B18</f>
        <v>16</v>
      </c>
      <c r="B19" s="100" t="str">
        <f>DATOS!C18</f>
        <v>X</v>
      </c>
      <c r="C19" s="101" t="str">
        <f>DATOS!G18</f>
        <v>CONDORI MOYA ALEIDA</v>
      </c>
      <c r="D19" s="102">
        <f>DATOS!H18</f>
        <v>36</v>
      </c>
      <c r="E19" s="103" t="str">
        <f>DATOS!I18</f>
        <v>FEMENINO</v>
      </c>
      <c r="F19" s="104" t="str">
        <f>DATOS!J18</f>
        <v>810824 CGE</v>
      </c>
      <c r="G19" s="104" t="str">
        <f>DATOS!L18</f>
        <v>PAISE EL ALTO</v>
      </c>
      <c r="H19" s="104" t="str">
        <f>DATOS!N18</f>
        <v>DR. PRIETO</v>
      </c>
      <c r="I19" s="105"/>
      <c r="J19" s="1"/>
    </row>
    <row r="20" spans="1:10" x14ac:dyDescent="0.3">
      <c r="A20" s="1">
        <f>DATOS!B19</f>
        <v>17</v>
      </c>
      <c r="B20" s="100">
        <f>DATOS!C19</f>
        <v>0</v>
      </c>
      <c r="C20" s="101" t="str">
        <f>DATOS!G19</f>
        <v xml:space="preserve">  </v>
      </c>
      <c r="D20" s="102">
        <f>DATOS!H19</f>
        <v>0</v>
      </c>
      <c r="E20" s="103">
        <f>DATOS!I19</f>
        <v>0</v>
      </c>
      <c r="F20" s="104">
        <f>DATOS!J19</f>
        <v>0</v>
      </c>
      <c r="G20" s="104">
        <f>DATOS!L19</f>
        <v>0</v>
      </c>
      <c r="H20" s="104">
        <f>DATOS!N19</f>
        <v>0</v>
      </c>
      <c r="I20" s="105"/>
      <c r="J20" s="1"/>
    </row>
    <row r="21" spans="1:10" x14ac:dyDescent="0.3">
      <c r="A21" s="1">
        <f>DATOS!B20</f>
        <v>18</v>
      </c>
      <c r="B21" s="100">
        <f>DATOS!C20</f>
        <v>0</v>
      </c>
      <c r="C21" s="101" t="str">
        <f>DATOS!G20</f>
        <v xml:space="preserve">  </v>
      </c>
      <c r="D21" s="102">
        <f>DATOS!H20</f>
        <v>0</v>
      </c>
      <c r="E21" s="103">
        <f>DATOS!I20</f>
        <v>0</v>
      </c>
      <c r="F21" s="104">
        <f>DATOS!J20</f>
        <v>0</v>
      </c>
      <c r="G21" s="104">
        <f>DATOS!L20</f>
        <v>0</v>
      </c>
      <c r="H21" s="104">
        <f>DATOS!N20</f>
        <v>0</v>
      </c>
      <c r="I21" s="105"/>
      <c r="J21" s="1"/>
    </row>
    <row r="22" spans="1:10" x14ac:dyDescent="0.3">
      <c r="A22" s="1">
        <f>DATOS!B21</f>
        <v>19</v>
      </c>
      <c r="B22" s="100">
        <f>DATOS!C21</f>
        <v>0</v>
      </c>
      <c r="C22" s="101" t="str">
        <f>DATOS!G21</f>
        <v xml:space="preserve">  </v>
      </c>
      <c r="D22" s="102">
        <f>DATOS!H21</f>
        <v>0</v>
      </c>
      <c r="E22" s="103">
        <f>DATOS!I21</f>
        <v>0</v>
      </c>
      <c r="F22" s="104">
        <f>DATOS!J21</f>
        <v>0</v>
      </c>
      <c r="G22" s="104">
        <f>DATOS!L21</f>
        <v>0</v>
      </c>
      <c r="H22" s="104">
        <f>DATOS!N21</f>
        <v>0</v>
      </c>
      <c r="I22" s="105"/>
      <c r="J22" s="1"/>
    </row>
    <row r="23" spans="1:10" x14ac:dyDescent="0.3">
      <c r="A23" s="1">
        <f>DATOS!B22</f>
        <v>20</v>
      </c>
      <c r="B23" s="100">
        <f>DATOS!C22</f>
        <v>0</v>
      </c>
      <c r="C23" s="101" t="str">
        <f>DATOS!G22</f>
        <v xml:space="preserve">  </v>
      </c>
      <c r="D23" s="102">
        <f>DATOS!H22</f>
        <v>0</v>
      </c>
      <c r="E23" s="103">
        <f>DATOS!I22</f>
        <v>0</v>
      </c>
      <c r="F23" s="104">
        <f>DATOS!J22</f>
        <v>0</v>
      </c>
      <c r="G23" s="104">
        <f>DATOS!L22</f>
        <v>0</v>
      </c>
      <c r="H23" s="104">
        <f>DATOS!N22</f>
        <v>0</v>
      </c>
      <c r="I23" s="105"/>
      <c r="J23" s="1"/>
    </row>
    <row r="24" spans="1:10" x14ac:dyDescent="0.3">
      <c r="A24" s="1">
        <f>DATOS!B23</f>
        <v>21</v>
      </c>
      <c r="B24" s="100">
        <f>DATOS!C23</f>
        <v>0</v>
      </c>
      <c r="C24" s="101" t="str">
        <f>DATOS!G23</f>
        <v xml:space="preserve">  </v>
      </c>
      <c r="D24" s="102">
        <f>DATOS!H23</f>
        <v>0</v>
      </c>
      <c r="E24" s="103">
        <f>DATOS!I23</f>
        <v>0</v>
      </c>
      <c r="F24" s="104">
        <f>DATOS!J23</f>
        <v>0</v>
      </c>
      <c r="G24" s="104">
        <f>DATOS!L23</f>
        <v>0</v>
      </c>
      <c r="H24" s="104">
        <f>DATOS!N23</f>
        <v>0</v>
      </c>
      <c r="I24" s="105"/>
      <c r="J24" s="1"/>
    </row>
    <row r="25" spans="1:10" x14ac:dyDescent="0.3">
      <c r="A25" s="1">
        <f>DATOS!B24</f>
        <v>22</v>
      </c>
      <c r="B25" s="100">
        <f>DATOS!C24</f>
        <v>0</v>
      </c>
      <c r="C25" s="101" t="str">
        <f>DATOS!G24</f>
        <v xml:space="preserve">  </v>
      </c>
      <c r="D25" s="102">
        <f>DATOS!H24</f>
        <v>0</v>
      </c>
      <c r="E25" s="103">
        <f>DATOS!I24</f>
        <v>0</v>
      </c>
      <c r="F25" s="104">
        <f>DATOS!J24</f>
        <v>0</v>
      </c>
      <c r="G25" s="104">
        <f>DATOS!L24</f>
        <v>0</v>
      </c>
      <c r="H25" s="104">
        <f>DATOS!N24</f>
        <v>0</v>
      </c>
      <c r="I25" s="105"/>
      <c r="J25" s="1"/>
    </row>
    <row r="26" spans="1:10" x14ac:dyDescent="0.3">
      <c r="A26" s="1">
        <f>DATOS!B25</f>
        <v>23</v>
      </c>
      <c r="B26" s="100">
        <f>DATOS!C25</f>
        <v>0</v>
      </c>
      <c r="C26" s="101" t="str">
        <f>DATOS!G25</f>
        <v xml:space="preserve">  </v>
      </c>
      <c r="D26" s="102">
        <f>DATOS!H25</f>
        <v>0</v>
      </c>
      <c r="E26" s="103">
        <f>DATOS!I25</f>
        <v>0</v>
      </c>
      <c r="F26" s="104">
        <f>DATOS!J25</f>
        <v>0</v>
      </c>
      <c r="G26" s="104">
        <f>DATOS!L25</f>
        <v>0</v>
      </c>
      <c r="H26" s="104">
        <f>DATOS!N25</f>
        <v>0</v>
      </c>
      <c r="I26" s="105"/>
      <c r="J26" s="1"/>
    </row>
    <row r="27" spans="1:10" x14ac:dyDescent="0.3">
      <c r="A27" s="1">
        <f>DATOS!B26</f>
        <v>24</v>
      </c>
      <c r="B27" s="100">
        <f>DATOS!C26</f>
        <v>0</v>
      </c>
      <c r="C27" s="101" t="str">
        <f>DATOS!G26</f>
        <v xml:space="preserve">  </v>
      </c>
      <c r="D27" s="102">
        <f>DATOS!H26</f>
        <v>0</v>
      </c>
      <c r="E27" s="103">
        <f>DATOS!I26</f>
        <v>0</v>
      </c>
      <c r="F27" s="104">
        <f>DATOS!J26</f>
        <v>0</v>
      </c>
      <c r="G27" s="104">
        <f>DATOS!L26</f>
        <v>0</v>
      </c>
      <c r="H27" s="104">
        <f>DATOS!N26</f>
        <v>0</v>
      </c>
      <c r="I27" s="105"/>
      <c r="J27" s="1"/>
    </row>
    <row r="28" spans="1:10" x14ac:dyDescent="0.3">
      <c r="A28" s="1">
        <f>DATOS!B27</f>
        <v>25</v>
      </c>
      <c r="B28" s="100">
        <f>DATOS!C27</f>
        <v>0</v>
      </c>
      <c r="C28" s="101" t="str">
        <f>DATOS!G27</f>
        <v xml:space="preserve">  </v>
      </c>
      <c r="D28" s="102">
        <f>DATOS!H27</f>
        <v>0</v>
      </c>
      <c r="E28" s="103">
        <f>DATOS!I27</f>
        <v>0</v>
      </c>
      <c r="F28" s="104">
        <f>DATOS!J27</f>
        <v>0</v>
      </c>
      <c r="G28" s="104">
        <f>DATOS!L27</f>
        <v>0</v>
      </c>
      <c r="H28" s="104">
        <f>DATOS!N27</f>
        <v>0</v>
      </c>
      <c r="I28" s="105"/>
      <c r="J28" s="1"/>
    </row>
    <row r="29" spans="1:10" x14ac:dyDescent="0.3">
      <c r="A29" s="1">
        <f>DATOS!B28</f>
        <v>26</v>
      </c>
      <c r="B29" s="100">
        <f>DATOS!C28</f>
        <v>0</v>
      </c>
      <c r="C29" s="101" t="str">
        <f>DATOS!G28</f>
        <v xml:space="preserve">  </v>
      </c>
      <c r="D29" s="102">
        <f>DATOS!H28</f>
        <v>0</v>
      </c>
      <c r="E29" s="103" t="str">
        <f>DATOS!I28</f>
        <v>MASCULINO</v>
      </c>
      <c r="F29" s="104">
        <f>DATOS!J28</f>
        <v>0</v>
      </c>
      <c r="G29" s="104">
        <f>DATOS!L28</f>
        <v>0</v>
      </c>
      <c r="H29" s="104">
        <f>DATOS!N28</f>
        <v>0</v>
      </c>
      <c r="I29" s="105"/>
      <c r="J29" s="1"/>
    </row>
    <row r="30" spans="1:10" x14ac:dyDescent="0.3">
      <c r="A30" s="1">
        <f>DATOS!B29</f>
        <v>27</v>
      </c>
      <c r="B30" s="100">
        <f>DATOS!C29</f>
        <v>0</v>
      </c>
      <c r="C30" s="101" t="str">
        <f>DATOS!G29</f>
        <v xml:space="preserve">  </v>
      </c>
      <c r="D30" s="102">
        <f>DATOS!H29</f>
        <v>0</v>
      </c>
      <c r="E30" s="103">
        <f>DATOS!I29</f>
        <v>0</v>
      </c>
      <c r="F30" s="104">
        <f>DATOS!J29</f>
        <v>0</v>
      </c>
      <c r="G30" s="104" t="str">
        <f>DATOS!L29</f>
        <v>CIMFA EL ALTO</v>
      </c>
      <c r="H30" s="104">
        <f>DATOS!N29</f>
        <v>0</v>
      </c>
      <c r="I30" s="105"/>
      <c r="J30" s="1"/>
    </row>
    <row r="31" spans="1:10" x14ac:dyDescent="0.3">
      <c r="A31" s="1">
        <f>DATOS!B30</f>
        <v>28</v>
      </c>
      <c r="B31" s="100">
        <f>DATOS!C30</f>
        <v>0</v>
      </c>
      <c r="C31" s="101" t="str">
        <f>DATOS!G30</f>
        <v xml:space="preserve">  </v>
      </c>
      <c r="D31" s="102">
        <f>DATOS!H30</f>
        <v>0</v>
      </c>
      <c r="E31" s="103">
        <f>DATOS!I30</f>
        <v>0</v>
      </c>
      <c r="F31" s="104">
        <f>DATOS!J30</f>
        <v>0</v>
      </c>
      <c r="G31" s="104">
        <f>DATOS!L30</f>
        <v>0</v>
      </c>
      <c r="H31" s="104">
        <f>DATOS!N30</f>
        <v>0</v>
      </c>
      <c r="I31" s="105"/>
      <c r="J31" s="1"/>
    </row>
    <row r="32" spans="1:10" x14ac:dyDescent="0.3">
      <c r="A32" s="1">
        <f>DATOS!B31</f>
        <v>29</v>
      </c>
      <c r="B32" s="100">
        <f>DATOS!C31</f>
        <v>0</v>
      </c>
      <c r="C32" s="101" t="str">
        <f>DATOS!G31</f>
        <v xml:space="preserve">  </v>
      </c>
      <c r="D32" s="102">
        <f>DATOS!H31</f>
        <v>0</v>
      </c>
      <c r="E32" s="103">
        <f>DATOS!I31</f>
        <v>0</v>
      </c>
      <c r="F32" s="104">
        <f>DATOS!J31</f>
        <v>0</v>
      </c>
      <c r="G32" s="104">
        <f>DATOS!L31</f>
        <v>0</v>
      </c>
      <c r="H32" s="104">
        <f>DATOS!N31</f>
        <v>0</v>
      </c>
      <c r="I32" s="105"/>
      <c r="J32" s="1"/>
    </row>
    <row r="33" spans="1:10" x14ac:dyDescent="0.3">
      <c r="A33" s="1">
        <f>DATOS!B32</f>
        <v>30</v>
      </c>
      <c r="B33" s="100">
        <f>DATOS!C32</f>
        <v>0</v>
      </c>
      <c r="C33" s="101" t="str">
        <f>DATOS!G32</f>
        <v xml:space="preserve">  </v>
      </c>
      <c r="D33" s="102">
        <f>DATOS!H32</f>
        <v>0</v>
      </c>
      <c r="E33" s="103">
        <f>DATOS!I32</f>
        <v>0</v>
      </c>
      <c r="F33" s="104">
        <f>DATOS!J32</f>
        <v>0</v>
      </c>
      <c r="G33" s="104">
        <f>DATOS!L32</f>
        <v>0</v>
      </c>
      <c r="H33" s="104">
        <f>DATOS!N32</f>
        <v>0</v>
      </c>
      <c r="I33" s="105"/>
      <c r="J33" s="1"/>
    </row>
    <row r="34" spans="1:10" x14ac:dyDescent="0.3">
      <c r="A34" s="1">
        <f>DATOS!B33</f>
        <v>31</v>
      </c>
      <c r="B34" s="100">
        <f>DATOS!C33</f>
        <v>0</v>
      </c>
      <c r="C34" s="101" t="str">
        <f>DATOS!G33</f>
        <v xml:space="preserve">  </v>
      </c>
      <c r="D34" s="102">
        <f>DATOS!H33</f>
        <v>0</v>
      </c>
      <c r="E34" s="103">
        <f>DATOS!I33</f>
        <v>0</v>
      </c>
      <c r="F34" s="104">
        <f>DATOS!J33</f>
        <v>0</v>
      </c>
      <c r="G34" s="104">
        <f>DATOS!L33</f>
        <v>0</v>
      </c>
      <c r="H34" s="104">
        <f>DATOS!N33</f>
        <v>0</v>
      </c>
      <c r="I34" s="105"/>
      <c r="J34" s="1"/>
    </row>
    <row r="35" spans="1:10" x14ac:dyDescent="0.3">
      <c r="A35" s="1">
        <f>DATOS!B34</f>
        <v>32</v>
      </c>
      <c r="B35" s="100">
        <f>DATOS!C34</f>
        <v>0</v>
      </c>
      <c r="C35" s="101" t="str">
        <f>DATOS!G34</f>
        <v xml:space="preserve">  </v>
      </c>
      <c r="D35" s="102">
        <f>DATOS!H34</f>
        <v>0</v>
      </c>
      <c r="E35" s="103">
        <f>DATOS!I34</f>
        <v>0</v>
      </c>
      <c r="F35" s="104">
        <f>DATOS!J34</f>
        <v>0</v>
      </c>
      <c r="G35" s="104">
        <f>DATOS!L34</f>
        <v>0</v>
      </c>
      <c r="H35" s="104">
        <f>DATOS!N34</f>
        <v>0</v>
      </c>
      <c r="I35" s="105"/>
      <c r="J35" s="1"/>
    </row>
    <row r="36" spans="1:10" x14ac:dyDescent="0.3">
      <c r="A36" s="1">
        <f>DATOS!B35</f>
        <v>33</v>
      </c>
      <c r="B36" s="100">
        <f>DATOS!C35</f>
        <v>0</v>
      </c>
      <c r="C36" s="101" t="str">
        <f>DATOS!G35</f>
        <v xml:space="preserve">  </v>
      </c>
      <c r="D36" s="102">
        <f>DATOS!H35</f>
        <v>0</v>
      </c>
      <c r="E36" s="103">
        <f>DATOS!I35</f>
        <v>0</v>
      </c>
      <c r="F36" s="104">
        <f>DATOS!J35</f>
        <v>0</v>
      </c>
      <c r="G36" s="104">
        <f>DATOS!L35</f>
        <v>0</v>
      </c>
      <c r="H36" s="104">
        <f>DATOS!N35</f>
        <v>0</v>
      </c>
      <c r="I36" s="105"/>
      <c r="J36" s="1"/>
    </row>
    <row r="37" spans="1:10" x14ac:dyDescent="0.3">
      <c r="A37" s="1">
        <f>DATOS!B36</f>
        <v>34</v>
      </c>
      <c r="B37" s="100">
        <f>DATOS!C36</f>
        <v>0</v>
      </c>
      <c r="C37" s="101" t="str">
        <f>DATOS!G36</f>
        <v xml:space="preserve">  </v>
      </c>
      <c r="D37" s="102">
        <f>DATOS!H36</f>
        <v>0</v>
      </c>
      <c r="E37" s="103">
        <f>DATOS!I36</f>
        <v>0</v>
      </c>
      <c r="F37" s="104">
        <f>DATOS!J36</f>
        <v>0</v>
      </c>
      <c r="G37" s="104">
        <f>DATOS!L36</f>
        <v>0</v>
      </c>
      <c r="H37" s="104">
        <f>DATOS!N36</f>
        <v>0</v>
      </c>
      <c r="I37" s="105"/>
      <c r="J37" s="1"/>
    </row>
    <row r="38" spans="1:10" x14ac:dyDescent="0.3">
      <c r="A38" s="1">
        <f>DATOS!B37</f>
        <v>35</v>
      </c>
      <c r="B38" s="100">
        <f>DATOS!C37</f>
        <v>0</v>
      </c>
      <c r="C38" s="101" t="str">
        <f>DATOS!G37</f>
        <v xml:space="preserve">  </v>
      </c>
      <c r="D38" s="102">
        <f>DATOS!H37</f>
        <v>0</v>
      </c>
      <c r="E38" s="103">
        <f>DATOS!I37</f>
        <v>0</v>
      </c>
      <c r="F38" s="104">
        <f>DATOS!J37</f>
        <v>0</v>
      </c>
      <c r="G38" s="104">
        <f>DATOS!L37</f>
        <v>0</v>
      </c>
      <c r="H38" s="104">
        <f>DATOS!N37</f>
        <v>0</v>
      </c>
      <c r="I38" s="105"/>
      <c r="J38" s="1"/>
    </row>
    <row r="39" spans="1:10" x14ac:dyDescent="0.3">
      <c r="A39" s="1">
        <f>DATOS!B38</f>
        <v>36</v>
      </c>
      <c r="B39" s="100">
        <f>DATOS!C38</f>
        <v>0</v>
      </c>
      <c r="C39" s="101" t="str">
        <f>DATOS!G38</f>
        <v xml:space="preserve">  </v>
      </c>
      <c r="D39" s="102">
        <f>DATOS!H38</f>
        <v>0</v>
      </c>
      <c r="E39" s="103">
        <f>DATOS!I38</f>
        <v>0</v>
      </c>
      <c r="F39" s="104">
        <f>DATOS!J38</f>
        <v>0</v>
      </c>
      <c r="G39" s="104">
        <f>DATOS!L38</f>
        <v>0</v>
      </c>
      <c r="H39" s="104">
        <f>DATOS!N38</f>
        <v>0</v>
      </c>
      <c r="I39" s="105"/>
      <c r="J39" s="1"/>
    </row>
    <row r="40" spans="1:10" x14ac:dyDescent="0.3">
      <c r="A40" s="1">
        <f>DATOS!B39</f>
        <v>37</v>
      </c>
      <c r="B40" s="100">
        <f>DATOS!C39</f>
        <v>0</v>
      </c>
      <c r="C40" s="101" t="str">
        <f>DATOS!G39</f>
        <v xml:space="preserve">  </v>
      </c>
      <c r="D40" s="102">
        <f>DATOS!H39</f>
        <v>0</v>
      </c>
      <c r="E40" s="103">
        <f>DATOS!I39</f>
        <v>0</v>
      </c>
      <c r="F40" s="104">
        <f>DATOS!J39</f>
        <v>0</v>
      </c>
      <c r="G40" s="104">
        <f>DATOS!L39</f>
        <v>0</v>
      </c>
      <c r="H40" s="104">
        <f>DATOS!N39</f>
        <v>0</v>
      </c>
      <c r="I40" s="105"/>
      <c r="J40" s="1"/>
    </row>
    <row r="41" spans="1:10" x14ac:dyDescent="0.3">
      <c r="A41" s="1">
        <f>DATOS!B40</f>
        <v>38</v>
      </c>
      <c r="B41" s="100">
        <f>DATOS!C40</f>
        <v>0</v>
      </c>
      <c r="C41" s="101" t="str">
        <f>DATOS!G40</f>
        <v xml:space="preserve">  </v>
      </c>
      <c r="D41" s="102">
        <f>DATOS!H40</f>
        <v>0</v>
      </c>
      <c r="E41" s="103">
        <f>DATOS!I40</f>
        <v>0</v>
      </c>
      <c r="F41" s="104">
        <f>DATOS!J40</f>
        <v>0</v>
      </c>
      <c r="G41" s="104">
        <f>DATOS!L40</f>
        <v>0</v>
      </c>
      <c r="H41" s="104">
        <f>DATOS!N40</f>
        <v>0</v>
      </c>
      <c r="I41" s="105"/>
      <c r="J41" s="1"/>
    </row>
    <row r="42" spans="1:10" x14ac:dyDescent="0.3">
      <c r="A42" s="1">
        <f>DATOS!B41</f>
        <v>39</v>
      </c>
      <c r="B42" s="100">
        <f>DATOS!C41</f>
        <v>0</v>
      </c>
      <c r="C42" s="101" t="str">
        <f>DATOS!G41</f>
        <v xml:space="preserve">  </v>
      </c>
      <c r="D42" s="102">
        <f>DATOS!H41</f>
        <v>0</v>
      </c>
      <c r="E42" s="103">
        <f>DATOS!I41</f>
        <v>0</v>
      </c>
      <c r="F42" s="104">
        <f>DATOS!J41</f>
        <v>0</v>
      </c>
      <c r="G42" s="104">
        <f>DATOS!L41</f>
        <v>0</v>
      </c>
      <c r="H42" s="104">
        <f>DATOS!N41</f>
        <v>0</v>
      </c>
      <c r="I42" s="105"/>
      <c r="J42" s="1"/>
    </row>
    <row r="43" spans="1:10" x14ac:dyDescent="0.3">
      <c r="A43" s="1">
        <f>DATOS!B42</f>
        <v>40</v>
      </c>
      <c r="B43" s="100">
        <f>DATOS!C42</f>
        <v>0</v>
      </c>
      <c r="C43" s="101" t="str">
        <f>DATOS!G42</f>
        <v xml:space="preserve">  </v>
      </c>
      <c r="D43" s="102">
        <f>DATOS!H42</f>
        <v>0</v>
      </c>
      <c r="E43" s="103">
        <f>DATOS!I42</f>
        <v>0</v>
      </c>
      <c r="F43" s="104">
        <f>DATOS!J42</f>
        <v>0</v>
      </c>
      <c r="G43" s="104">
        <f>DATOS!L42</f>
        <v>0</v>
      </c>
      <c r="H43" s="104">
        <f>DATOS!N42</f>
        <v>0</v>
      </c>
      <c r="I43" s="105"/>
      <c r="J43" s="1"/>
    </row>
    <row r="44" spans="1:10" x14ac:dyDescent="0.3">
      <c r="A44" s="1">
        <f>DATOS!B43</f>
        <v>41</v>
      </c>
      <c r="B44" s="100">
        <f>DATOS!C43</f>
        <v>0</v>
      </c>
      <c r="C44" s="101" t="str">
        <f>DATOS!G43</f>
        <v xml:space="preserve">  </v>
      </c>
      <c r="D44" s="102">
        <f>DATOS!H43</f>
        <v>0</v>
      </c>
      <c r="E44" s="103">
        <f>DATOS!I43</f>
        <v>0</v>
      </c>
      <c r="F44" s="104">
        <f>DATOS!J43</f>
        <v>0</v>
      </c>
      <c r="G44" s="104">
        <f>DATOS!L43</f>
        <v>0</v>
      </c>
      <c r="H44" s="104">
        <f>DATOS!N43</f>
        <v>0</v>
      </c>
      <c r="I44" s="105"/>
      <c r="J44" s="1"/>
    </row>
    <row r="45" spans="1:10" x14ac:dyDescent="0.3">
      <c r="A45" s="1">
        <f>DATOS!B44</f>
        <v>42</v>
      </c>
      <c r="B45" s="100">
        <f>DATOS!C44</f>
        <v>0</v>
      </c>
      <c r="C45" s="101" t="str">
        <f>DATOS!G44</f>
        <v xml:space="preserve">  </v>
      </c>
      <c r="D45" s="102">
        <f>DATOS!H44</f>
        <v>0</v>
      </c>
      <c r="E45" s="103">
        <f>DATOS!I44</f>
        <v>0</v>
      </c>
      <c r="F45" s="104">
        <f>DATOS!J44</f>
        <v>0</v>
      </c>
      <c r="G45" s="104">
        <f>DATOS!L44</f>
        <v>0</v>
      </c>
      <c r="H45" s="104">
        <f>DATOS!N44</f>
        <v>0</v>
      </c>
      <c r="I45" s="105"/>
      <c r="J45" s="1"/>
    </row>
    <row r="46" spans="1:10" x14ac:dyDescent="0.3">
      <c r="A46" s="1">
        <f>DATOS!B45</f>
        <v>43</v>
      </c>
      <c r="B46" s="100">
        <f>DATOS!C45</f>
        <v>0</v>
      </c>
      <c r="C46" s="101" t="str">
        <f>DATOS!G45</f>
        <v xml:space="preserve">  </v>
      </c>
      <c r="D46" s="102">
        <f>DATOS!H45</f>
        <v>0</v>
      </c>
      <c r="E46" s="103">
        <f>DATOS!I45</f>
        <v>0</v>
      </c>
      <c r="F46" s="104">
        <f>DATOS!J45</f>
        <v>0</v>
      </c>
      <c r="G46" s="104">
        <f>DATOS!L45</f>
        <v>0</v>
      </c>
      <c r="H46" s="104">
        <f>DATOS!N45</f>
        <v>0</v>
      </c>
      <c r="I46" s="105"/>
      <c r="J46" s="1"/>
    </row>
    <row r="47" spans="1:10" x14ac:dyDescent="0.3">
      <c r="A47" s="1">
        <f>DATOS!B46</f>
        <v>44</v>
      </c>
      <c r="B47" s="100">
        <f>DATOS!C46</f>
        <v>0</v>
      </c>
      <c r="C47" s="101" t="str">
        <f>DATOS!G46</f>
        <v xml:space="preserve">  </v>
      </c>
      <c r="D47" s="102">
        <f>DATOS!H46</f>
        <v>0</v>
      </c>
      <c r="E47" s="103">
        <f>DATOS!I46</f>
        <v>0</v>
      </c>
      <c r="F47" s="104">
        <f>DATOS!J46</f>
        <v>0</v>
      </c>
      <c r="G47" s="104">
        <f>DATOS!L46</f>
        <v>0</v>
      </c>
      <c r="H47" s="104">
        <f>DATOS!N46</f>
        <v>0</v>
      </c>
      <c r="I47" s="105"/>
      <c r="J47" s="1"/>
    </row>
    <row r="48" spans="1:10" x14ac:dyDescent="0.3">
      <c r="A48" s="1">
        <f>DATOS!B47</f>
        <v>45</v>
      </c>
      <c r="B48" s="100">
        <f>DATOS!C47</f>
        <v>0</v>
      </c>
      <c r="C48" s="101" t="str">
        <f>DATOS!G47</f>
        <v xml:space="preserve">  </v>
      </c>
      <c r="D48" s="102">
        <f>DATOS!H47</f>
        <v>0</v>
      </c>
      <c r="E48" s="103">
        <f>DATOS!I47</f>
        <v>0</v>
      </c>
      <c r="F48" s="104">
        <f>DATOS!J47</f>
        <v>0</v>
      </c>
      <c r="G48" s="104">
        <f>DATOS!L47</f>
        <v>0</v>
      </c>
      <c r="H48" s="104">
        <f>DATOS!N47</f>
        <v>0</v>
      </c>
      <c r="I48" s="105"/>
      <c r="J48" s="1"/>
    </row>
    <row r="49" spans="1:10" x14ac:dyDescent="0.3">
      <c r="A49" s="1">
        <f>DATOS!B48</f>
        <v>46</v>
      </c>
      <c r="B49" s="100">
        <f>DATOS!C48</f>
        <v>0</v>
      </c>
      <c r="C49" s="101" t="str">
        <f>DATOS!G48</f>
        <v xml:space="preserve">  </v>
      </c>
      <c r="D49" s="102">
        <f>DATOS!H48</f>
        <v>0</v>
      </c>
      <c r="E49" s="103">
        <f>DATOS!I48</f>
        <v>0</v>
      </c>
      <c r="F49" s="104">
        <f>DATOS!J48</f>
        <v>0</v>
      </c>
      <c r="G49" s="104">
        <f>DATOS!L48</f>
        <v>0</v>
      </c>
      <c r="H49" s="104">
        <f>DATOS!N48</f>
        <v>0</v>
      </c>
      <c r="I49" s="105"/>
      <c r="J49" s="1"/>
    </row>
    <row r="50" spans="1:10" x14ac:dyDescent="0.3">
      <c r="A50" s="1">
        <f>DATOS!B49</f>
        <v>47</v>
      </c>
      <c r="B50" s="100">
        <f>DATOS!C49</f>
        <v>0</v>
      </c>
      <c r="C50" s="101" t="str">
        <f>DATOS!G49</f>
        <v xml:space="preserve">  </v>
      </c>
      <c r="D50" s="102">
        <f>DATOS!H49</f>
        <v>0</v>
      </c>
      <c r="E50" s="103">
        <f>DATOS!I49</f>
        <v>0</v>
      </c>
      <c r="F50" s="104">
        <f>DATOS!J49</f>
        <v>0</v>
      </c>
      <c r="G50" s="104">
        <f>DATOS!L49</f>
        <v>0</v>
      </c>
      <c r="H50" s="104">
        <f>DATOS!N49</f>
        <v>0</v>
      </c>
      <c r="I50" s="105"/>
      <c r="J50" s="1"/>
    </row>
    <row r="51" spans="1:10" x14ac:dyDescent="0.3">
      <c r="A51" s="1">
        <f>DATOS!B50</f>
        <v>48</v>
      </c>
      <c r="B51" s="100">
        <f>DATOS!C50</f>
        <v>0</v>
      </c>
      <c r="C51" s="101" t="str">
        <f>DATOS!G50</f>
        <v xml:space="preserve">  </v>
      </c>
      <c r="D51" s="102">
        <f>DATOS!H50</f>
        <v>0</v>
      </c>
      <c r="E51" s="103">
        <f>DATOS!I50</f>
        <v>0</v>
      </c>
      <c r="F51" s="104">
        <f>DATOS!J50</f>
        <v>0</v>
      </c>
      <c r="G51" s="104">
        <f>DATOS!L50</f>
        <v>0</v>
      </c>
      <c r="H51" s="104">
        <f>DATOS!N50</f>
        <v>0</v>
      </c>
      <c r="I51" s="105"/>
      <c r="J51" s="1"/>
    </row>
    <row r="52" spans="1:10" x14ac:dyDescent="0.3">
      <c r="A52" s="1">
        <f>DATOS!B51</f>
        <v>49</v>
      </c>
      <c r="B52" s="100">
        <f>DATOS!C51</f>
        <v>0</v>
      </c>
      <c r="C52" s="101" t="str">
        <f>DATOS!G51</f>
        <v xml:space="preserve">  </v>
      </c>
      <c r="D52" s="102">
        <f>DATOS!H51</f>
        <v>0</v>
      </c>
      <c r="E52" s="103">
        <f>DATOS!I51</f>
        <v>0</v>
      </c>
      <c r="F52" s="104">
        <f>DATOS!J51</f>
        <v>0</v>
      </c>
      <c r="G52" s="104">
        <f>DATOS!L51</f>
        <v>0</v>
      </c>
      <c r="H52" s="104">
        <f>DATOS!N51</f>
        <v>0</v>
      </c>
      <c r="I52" s="105"/>
      <c r="J52" s="1"/>
    </row>
    <row r="53" spans="1:10" x14ac:dyDescent="0.3">
      <c r="A53" s="1">
        <f>DATOS!B52</f>
        <v>50</v>
      </c>
      <c r="B53" s="100">
        <f>DATOS!C52</f>
        <v>0</v>
      </c>
      <c r="C53" s="101" t="str">
        <f>DATOS!G52</f>
        <v xml:space="preserve">  </v>
      </c>
      <c r="D53" s="102">
        <f>DATOS!H52</f>
        <v>0</v>
      </c>
      <c r="E53" s="103">
        <f>DATOS!I52</f>
        <v>0</v>
      </c>
      <c r="F53" s="104">
        <f>DATOS!J52</f>
        <v>0</v>
      </c>
      <c r="G53" s="104">
        <f>DATOS!L52</f>
        <v>0</v>
      </c>
      <c r="H53" s="104">
        <f>DATOS!N52</f>
        <v>0</v>
      </c>
      <c r="I53" s="105"/>
      <c r="J53" s="1"/>
    </row>
    <row r="54" spans="1:10" x14ac:dyDescent="0.3">
      <c r="A54" s="1">
        <f>DATOS!B53</f>
        <v>51</v>
      </c>
      <c r="B54" s="100">
        <f>DATOS!C53</f>
        <v>0</v>
      </c>
      <c r="C54" s="101" t="str">
        <f>DATOS!G53</f>
        <v xml:space="preserve">  </v>
      </c>
      <c r="D54" s="102">
        <f>DATOS!H53</f>
        <v>0</v>
      </c>
      <c r="E54" s="103">
        <f>DATOS!I53</f>
        <v>0</v>
      </c>
      <c r="F54" s="104">
        <f>DATOS!J53</f>
        <v>0</v>
      </c>
      <c r="G54" s="104">
        <f>DATOS!L53</f>
        <v>0</v>
      </c>
      <c r="H54" s="104">
        <f>DATOS!N53</f>
        <v>0</v>
      </c>
      <c r="I54" s="105"/>
      <c r="J54" s="1"/>
    </row>
    <row r="55" spans="1:10" x14ac:dyDescent="0.3">
      <c r="A55" s="1">
        <f>DATOS!B54</f>
        <v>52</v>
      </c>
      <c r="B55" s="100">
        <f>DATOS!C54</f>
        <v>0</v>
      </c>
      <c r="C55" s="101" t="str">
        <f>DATOS!G54</f>
        <v xml:space="preserve">  </v>
      </c>
      <c r="D55" s="102">
        <f>DATOS!H54</f>
        <v>0</v>
      </c>
      <c r="E55" s="103">
        <f>DATOS!I54</f>
        <v>0</v>
      </c>
      <c r="F55" s="104">
        <f>DATOS!J54</f>
        <v>0</v>
      </c>
      <c r="G55" s="104">
        <f>DATOS!L54</f>
        <v>0</v>
      </c>
      <c r="H55" s="104">
        <f>DATOS!N54</f>
        <v>0</v>
      </c>
      <c r="I55" s="105"/>
      <c r="J55" s="1"/>
    </row>
    <row r="56" spans="1:10" x14ac:dyDescent="0.3">
      <c r="A56" s="1">
        <f>DATOS!B55</f>
        <v>53</v>
      </c>
      <c r="B56" s="100">
        <f>DATOS!C55</f>
        <v>0</v>
      </c>
      <c r="C56" s="101" t="str">
        <f>DATOS!G55</f>
        <v xml:space="preserve">  </v>
      </c>
      <c r="D56" s="102">
        <f>DATOS!H55</f>
        <v>0</v>
      </c>
      <c r="E56" s="103">
        <f>DATOS!I55</f>
        <v>0</v>
      </c>
      <c r="F56" s="104">
        <f>DATOS!J55</f>
        <v>0</v>
      </c>
      <c r="G56" s="104">
        <f>DATOS!L55</f>
        <v>0</v>
      </c>
      <c r="H56" s="104">
        <f>DATOS!N55</f>
        <v>0</v>
      </c>
      <c r="I56" s="105"/>
      <c r="J56" s="1"/>
    </row>
    <row r="57" spans="1:10" x14ac:dyDescent="0.3">
      <c r="A57" s="1">
        <f>DATOS!B56</f>
        <v>54</v>
      </c>
      <c r="B57" s="100">
        <f>DATOS!C56</f>
        <v>0</v>
      </c>
      <c r="C57" s="101" t="str">
        <f>DATOS!G56</f>
        <v xml:space="preserve">  </v>
      </c>
      <c r="D57" s="102">
        <f>DATOS!H56</f>
        <v>0</v>
      </c>
      <c r="E57" s="103">
        <f>DATOS!I56</f>
        <v>0</v>
      </c>
      <c r="F57" s="104">
        <f>DATOS!J56</f>
        <v>0</v>
      </c>
      <c r="G57" s="104">
        <f>DATOS!L56</f>
        <v>0</v>
      </c>
      <c r="H57" s="104">
        <f>DATOS!N56</f>
        <v>0</v>
      </c>
      <c r="I57" s="105"/>
      <c r="J57" s="1"/>
    </row>
    <row r="58" spans="1:10" x14ac:dyDescent="0.3">
      <c r="A58" s="1">
        <f>DATOS!B57</f>
        <v>55</v>
      </c>
      <c r="B58" s="100">
        <f>DATOS!C57</f>
        <v>0</v>
      </c>
      <c r="C58" s="101" t="str">
        <f>DATOS!G57</f>
        <v xml:space="preserve">  </v>
      </c>
      <c r="D58" s="102">
        <f>DATOS!H57</f>
        <v>0</v>
      </c>
      <c r="E58" s="103">
        <f>DATOS!I57</f>
        <v>0</v>
      </c>
      <c r="F58" s="104">
        <f>DATOS!J57</f>
        <v>0</v>
      </c>
      <c r="G58" s="104">
        <f>DATOS!L57</f>
        <v>0</v>
      </c>
      <c r="H58" s="104">
        <f>DATOS!N57</f>
        <v>0</v>
      </c>
      <c r="I58" s="105"/>
      <c r="J58" s="1"/>
    </row>
    <row r="59" spans="1:10" x14ac:dyDescent="0.3">
      <c r="A59" s="1">
        <f>DATOS!B58</f>
        <v>56</v>
      </c>
      <c r="B59" s="100">
        <f>DATOS!C58</f>
        <v>0</v>
      </c>
      <c r="C59" s="101" t="str">
        <f>DATOS!G58</f>
        <v xml:space="preserve">  </v>
      </c>
      <c r="D59" s="102">
        <f>DATOS!H58</f>
        <v>0</v>
      </c>
      <c r="E59" s="103">
        <f>DATOS!I58</f>
        <v>0</v>
      </c>
      <c r="F59" s="104">
        <f>DATOS!J58</f>
        <v>0</v>
      </c>
      <c r="G59" s="104">
        <f>DATOS!L58</f>
        <v>0</v>
      </c>
      <c r="H59" s="104">
        <f>DATOS!N58</f>
        <v>0</v>
      </c>
      <c r="I59" s="105"/>
      <c r="J59" s="1"/>
    </row>
    <row r="60" spans="1:10" x14ac:dyDescent="0.3">
      <c r="A60" s="1">
        <f>DATOS!B59</f>
        <v>57</v>
      </c>
      <c r="B60" s="100">
        <f>DATOS!C59</f>
        <v>0</v>
      </c>
      <c r="C60" s="101" t="str">
        <f>DATOS!G59</f>
        <v xml:space="preserve">  </v>
      </c>
      <c r="D60" s="102">
        <f>DATOS!H59</f>
        <v>0</v>
      </c>
      <c r="E60" s="103">
        <f>DATOS!I59</f>
        <v>0</v>
      </c>
      <c r="F60" s="104">
        <f>DATOS!J59</f>
        <v>0</v>
      </c>
      <c r="G60" s="104">
        <f>DATOS!L59</f>
        <v>0</v>
      </c>
      <c r="H60" s="104">
        <f>DATOS!N59</f>
        <v>0</v>
      </c>
      <c r="I60" s="105"/>
      <c r="J60" s="1"/>
    </row>
    <row r="61" spans="1:10" x14ac:dyDescent="0.3">
      <c r="A61" s="1">
        <f>DATOS!B60</f>
        <v>58</v>
      </c>
      <c r="B61" s="100">
        <f>DATOS!C60</f>
        <v>0</v>
      </c>
      <c r="C61" s="101" t="str">
        <f>DATOS!G60</f>
        <v xml:space="preserve">  </v>
      </c>
      <c r="D61" s="102">
        <f>DATOS!H60</f>
        <v>0</v>
      </c>
      <c r="E61" s="103">
        <f>DATOS!I60</f>
        <v>0</v>
      </c>
      <c r="F61" s="104">
        <f>DATOS!J60</f>
        <v>0</v>
      </c>
      <c r="G61" s="104">
        <f>DATOS!L60</f>
        <v>0</v>
      </c>
      <c r="H61" s="104">
        <f>DATOS!N60</f>
        <v>0</v>
      </c>
      <c r="I61" s="105"/>
      <c r="J61" s="1"/>
    </row>
    <row r="62" spans="1:10" x14ac:dyDescent="0.3">
      <c r="A62" s="1">
        <f>DATOS!B61</f>
        <v>59</v>
      </c>
      <c r="B62" s="100">
        <f>DATOS!C61</f>
        <v>0</v>
      </c>
      <c r="C62" s="101" t="str">
        <f>DATOS!G61</f>
        <v xml:space="preserve">  </v>
      </c>
      <c r="D62" s="102">
        <f>DATOS!H61</f>
        <v>0</v>
      </c>
      <c r="E62" s="103">
        <f>DATOS!I61</f>
        <v>0</v>
      </c>
      <c r="F62" s="104">
        <f>DATOS!J61</f>
        <v>0</v>
      </c>
      <c r="G62" s="104">
        <f>DATOS!L61</f>
        <v>0</v>
      </c>
      <c r="H62" s="104">
        <f>DATOS!N61</f>
        <v>0</v>
      </c>
      <c r="I62" s="105"/>
      <c r="J62" s="1"/>
    </row>
    <row r="63" spans="1:10" x14ac:dyDescent="0.3">
      <c r="A63" s="1">
        <f>DATOS!B62</f>
        <v>60</v>
      </c>
      <c r="B63" s="100">
        <f>DATOS!C62</f>
        <v>0</v>
      </c>
      <c r="C63" s="101" t="str">
        <f>DATOS!G62</f>
        <v xml:space="preserve">  </v>
      </c>
      <c r="D63" s="102">
        <f>DATOS!H62</f>
        <v>0</v>
      </c>
      <c r="E63" s="103">
        <f>DATOS!I62</f>
        <v>0</v>
      </c>
      <c r="F63" s="104">
        <f>DATOS!J62</f>
        <v>0</v>
      </c>
      <c r="G63" s="104">
        <f>DATOS!L62</f>
        <v>0</v>
      </c>
      <c r="H63" s="104">
        <f>DATOS!N62</f>
        <v>0</v>
      </c>
      <c r="I63" s="105"/>
      <c r="J63" s="1"/>
    </row>
    <row r="64" spans="1:10" x14ac:dyDescent="0.3">
      <c r="A64" s="1">
        <f>DATOS!B63</f>
        <v>61</v>
      </c>
      <c r="B64" s="100">
        <f>DATOS!C63</f>
        <v>0</v>
      </c>
      <c r="C64" s="101" t="str">
        <f>DATOS!G63</f>
        <v xml:space="preserve">  </v>
      </c>
      <c r="D64" s="102">
        <f>DATOS!H63</f>
        <v>0</v>
      </c>
      <c r="E64" s="103">
        <f>DATOS!I63</f>
        <v>0</v>
      </c>
      <c r="F64" s="104">
        <f>DATOS!J63</f>
        <v>0</v>
      </c>
      <c r="G64" s="104">
        <f>DATOS!L63</f>
        <v>0</v>
      </c>
      <c r="H64" s="104">
        <f>DATOS!N63</f>
        <v>0</v>
      </c>
      <c r="I64" s="105"/>
      <c r="J64" s="1"/>
    </row>
    <row r="65" spans="1:10" x14ac:dyDescent="0.3">
      <c r="A65" s="1">
        <f>DATOS!B64</f>
        <v>62</v>
      </c>
      <c r="B65" s="100">
        <f>DATOS!C64</f>
        <v>0</v>
      </c>
      <c r="C65" s="101" t="str">
        <f>DATOS!G64</f>
        <v xml:space="preserve">  </v>
      </c>
      <c r="D65" s="102">
        <f>DATOS!H64</f>
        <v>0</v>
      </c>
      <c r="E65" s="103">
        <f>DATOS!I64</f>
        <v>0</v>
      </c>
      <c r="F65" s="104">
        <f>DATOS!J64</f>
        <v>0</v>
      </c>
      <c r="G65" s="104">
        <f>DATOS!L64</f>
        <v>0</v>
      </c>
      <c r="H65" s="104">
        <f>DATOS!N64</f>
        <v>0</v>
      </c>
      <c r="I65" s="105"/>
      <c r="J65" s="1"/>
    </row>
    <row r="66" spans="1:10" x14ac:dyDescent="0.3">
      <c r="A66" s="1">
        <f>DATOS!B65</f>
        <v>63</v>
      </c>
      <c r="B66" s="100">
        <f>DATOS!C65</f>
        <v>0</v>
      </c>
      <c r="C66" s="101" t="str">
        <f>DATOS!G65</f>
        <v xml:space="preserve">  </v>
      </c>
      <c r="D66" s="102">
        <f>DATOS!H65</f>
        <v>0</v>
      </c>
      <c r="E66" s="103">
        <f>DATOS!I65</f>
        <v>0</v>
      </c>
      <c r="F66" s="104">
        <f>DATOS!J65</f>
        <v>0</v>
      </c>
      <c r="G66" s="104">
        <f>DATOS!L65</f>
        <v>0</v>
      </c>
      <c r="H66" s="104">
        <f>DATOS!N65</f>
        <v>0</v>
      </c>
      <c r="I66" s="105"/>
      <c r="J66" s="1"/>
    </row>
    <row r="67" spans="1:10" x14ac:dyDescent="0.3">
      <c r="A67" s="1">
        <f>DATOS!B66</f>
        <v>64</v>
      </c>
      <c r="B67" s="100">
        <f>DATOS!C66</f>
        <v>0</v>
      </c>
      <c r="C67" s="101" t="str">
        <f>DATOS!G66</f>
        <v xml:space="preserve">  </v>
      </c>
      <c r="D67" s="102">
        <f>DATOS!H66</f>
        <v>0</v>
      </c>
      <c r="E67" s="103">
        <f>DATOS!I66</f>
        <v>0</v>
      </c>
      <c r="F67" s="104">
        <f>DATOS!J66</f>
        <v>0</v>
      </c>
      <c r="G67" s="104">
        <f>DATOS!L66</f>
        <v>0</v>
      </c>
      <c r="H67" s="104">
        <f>DATOS!N66</f>
        <v>0</v>
      </c>
      <c r="I67" s="105"/>
      <c r="J67" s="1"/>
    </row>
    <row r="68" spans="1:10" x14ac:dyDescent="0.3">
      <c r="A68" s="1">
        <f>DATOS!B67</f>
        <v>65</v>
      </c>
      <c r="B68" s="100">
        <f>DATOS!C67</f>
        <v>0</v>
      </c>
      <c r="C68" s="101" t="str">
        <f>DATOS!G67</f>
        <v xml:space="preserve">  </v>
      </c>
      <c r="D68" s="102">
        <f>DATOS!H67</f>
        <v>0</v>
      </c>
      <c r="E68" s="103">
        <f>DATOS!I67</f>
        <v>0</v>
      </c>
      <c r="F68" s="104">
        <f>DATOS!J67</f>
        <v>0</v>
      </c>
      <c r="G68" s="104">
        <f>DATOS!L67</f>
        <v>0</v>
      </c>
      <c r="H68" s="104">
        <f>DATOS!N67</f>
        <v>0</v>
      </c>
      <c r="I68" s="105"/>
      <c r="J68" s="1"/>
    </row>
    <row r="69" spans="1:10" x14ac:dyDescent="0.3">
      <c r="A69" s="1">
        <f>DATOS!B68</f>
        <v>66</v>
      </c>
      <c r="B69" s="100">
        <f>DATOS!C68</f>
        <v>0</v>
      </c>
      <c r="C69" s="101" t="str">
        <f>DATOS!G68</f>
        <v xml:space="preserve">  </v>
      </c>
      <c r="D69" s="102">
        <f>DATOS!H68</f>
        <v>0</v>
      </c>
      <c r="E69" s="103">
        <f>DATOS!I68</f>
        <v>0</v>
      </c>
      <c r="F69" s="104">
        <f>DATOS!J68</f>
        <v>0</v>
      </c>
      <c r="G69" s="104">
        <f>DATOS!L68</f>
        <v>0</v>
      </c>
      <c r="H69" s="104">
        <f>DATOS!N68</f>
        <v>0</v>
      </c>
      <c r="I69" s="105"/>
      <c r="J69" s="1"/>
    </row>
    <row r="70" spans="1:10" x14ac:dyDescent="0.3">
      <c r="A70" s="1">
        <f>DATOS!B69</f>
        <v>67</v>
      </c>
      <c r="B70" s="100">
        <f>DATOS!C69</f>
        <v>0</v>
      </c>
      <c r="C70" s="101" t="str">
        <f>DATOS!G69</f>
        <v xml:space="preserve">  </v>
      </c>
      <c r="D70" s="102">
        <f>DATOS!H69</f>
        <v>0</v>
      </c>
      <c r="E70" s="103">
        <f>DATOS!I69</f>
        <v>0</v>
      </c>
      <c r="F70" s="104">
        <f>DATOS!J69</f>
        <v>0</v>
      </c>
      <c r="G70" s="104">
        <f>DATOS!L69</f>
        <v>0</v>
      </c>
      <c r="H70" s="104">
        <f>DATOS!N69</f>
        <v>0</v>
      </c>
      <c r="I70" s="105"/>
      <c r="J70" s="1"/>
    </row>
    <row r="71" spans="1:10" x14ac:dyDescent="0.3">
      <c r="A71" s="1">
        <f>DATOS!B70</f>
        <v>68</v>
      </c>
      <c r="B71" s="100">
        <f>DATOS!C70</f>
        <v>0</v>
      </c>
      <c r="C71" s="101" t="str">
        <f>DATOS!G70</f>
        <v xml:space="preserve">  </v>
      </c>
      <c r="D71" s="102">
        <f>DATOS!H70</f>
        <v>0</v>
      </c>
      <c r="E71" s="103">
        <f>DATOS!I70</f>
        <v>0</v>
      </c>
      <c r="F71" s="104">
        <f>DATOS!J70</f>
        <v>0</v>
      </c>
      <c r="G71" s="104">
        <f>DATOS!L70</f>
        <v>0</v>
      </c>
      <c r="H71" s="104">
        <f>DATOS!N70</f>
        <v>0</v>
      </c>
      <c r="I71" s="105"/>
      <c r="J71" s="1"/>
    </row>
    <row r="72" spans="1:10" x14ac:dyDescent="0.3">
      <c r="A72" s="1">
        <f>DATOS!B71</f>
        <v>69</v>
      </c>
      <c r="B72" s="100">
        <f>DATOS!C71</f>
        <v>0</v>
      </c>
      <c r="C72" s="101" t="str">
        <f>DATOS!G71</f>
        <v xml:space="preserve">  </v>
      </c>
      <c r="D72" s="102">
        <f>DATOS!H71</f>
        <v>0</v>
      </c>
      <c r="E72" s="103">
        <f>DATOS!I71</f>
        <v>0</v>
      </c>
      <c r="F72" s="104">
        <f>DATOS!J71</f>
        <v>0</v>
      </c>
      <c r="G72" s="104">
        <f>DATOS!L71</f>
        <v>0</v>
      </c>
      <c r="H72" s="104">
        <f>DATOS!N71</f>
        <v>0</v>
      </c>
      <c r="I72" s="105"/>
      <c r="J72" s="1"/>
    </row>
    <row r="73" spans="1:10" x14ac:dyDescent="0.3">
      <c r="A73" s="1">
        <f>DATOS!B72</f>
        <v>70</v>
      </c>
      <c r="B73" s="100">
        <f>DATOS!C72</f>
        <v>0</v>
      </c>
      <c r="C73" s="101" t="str">
        <f>DATOS!G72</f>
        <v xml:space="preserve">  </v>
      </c>
      <c r="D73" s="102">
        <f>DATOS!H72</f>
        <v>0</v>
      </c>
      <c r="E73" s="103">
        <f>DATOS!I72</f>
        <v>0</v>
      </c>
      <c r="F73" s="104">
        <f>DATOS!J72</f>
        <v>0</v>
      </c>
      <c r="G73" s="104">
        <f>DATOS!L72</f>
        <v>0</v>
      </c>
      <c r="H73" s="104">
        <f>DATOS!N72</f>
        <v>0</v>
      </c>
      <c r="I73" s="105"/>
      <c r="J73" s="1"/>
    </row>
    <row r="74" spans="1:10" x14ac:dyDescent="0.3">
      <c r="A74" s="1">
        <f>DATOS!B73</f>
        <v>71</v>
      </c>
      <c r="B74" s="100">
        <f>DATOS!C73</f>
        <v>0</v>
      </c>
      <c r="C74" s="101" t="str">
        <f>DATOS!G73</f>
        <v xml:space="preserve">  </v>
      </c>
      <c r="D74" s="102">
        <f>DATOS!H73</f>
        <v>0</v>
      </c>
      <c r="E74" s="103">
        <f>DATOS!I73</f>
        <v>0</v>
      </c>
      <c r="F74" s="104">
        <f>DATOS!J73</f>
        <v>0</v>
      </c>
      <c r="G74" s="104">
        <f>DATOS!L73</f>
        <v>0</v>
      </c>
      <c r="H74" s="104">
        <f>DATOS!N73</f>
        <v>0</v>
      </c>
      <c r="I74" s="105"/>
      <c r="J74" s="1"/>
    </row>
    <row r="75" spans="1:10" x14ac:dyDescent="0.3">
      <c r="A75" s="1">
        <f>DATOS!B74</f>
        <v>72</v>
      </c>
      <c r="B75" s="100">
        <f>DATOS!C74</f>
        <v>0</v>
      </c>
      <c r="C75" s="101" t="str">
        <f>DATOS!G74</f>
        <v xml:space="preserve">  </v>
      </c>
      <c r="D75" s="102">
        <f>DATOS!H74</f>
        <v>0</v>
      </c>
      <c r="E75" s="103">
        <f>DATOS!I74</f>
        <v>0</v>
      </c>
      <c r="F75" s="104">
        <f>DATOS!J74</f>
        <v>0</v>
      </c>
      <c r="G75" s="104">
        <f>DATOS!L74</f>
        <v>0</v>
      </c>
      <c r="H75" s="104">
        <f>DATOS!N74</f>
        <v>0</v>
      </c>
      <c r="I75" s="105"/>
      <c r="J75" s="1"/>
    </row>
    <row r="76" spans="1:10" x14ac:dyDescent="0.3">
      <c r="A76" s="1">
        <f>DATOS!B75</f>
        <v>73</v>
      </c>
      <c r="B76" s="100">
        <f>DATOS!C75</f>
        <v>0</v>
      </c>
      <c r="C76" s="101" t="str">
        <f>DATOS!G75</f>
        <v xml:space="preserve">  </v>
      </c>
      <c r="D76" s="102">
        <f>DATOS!H75</f>
        <v>0</v>
      </c>
      <c r="E76" s="103">
        <f>DATOS!I75</f>
        <v>0</v>
      </c>
      <c r="F76" s="104">
        <f>DATOS!J75</f>
        <v>0</v>
      </c>
      <c r="G76" s="104">
        <f>DATOS!L75</f>
        <v>0</v>
      </c>
      <c r="H76" s="104">
        <f>DATOS!N75</f>
        <v>0</v>
      </c>
      <c r="I76" s="105"/>
      <c r="J76" s="1"/>
    </row>
    <row r="77" spans="1:10" x14ac:dyDescent="0.3">
      <c r="A77" s="1">
        <f>DATOS!B76</f>
        <v>74</v>
      </c>
      <c r="B77" s="100">
        <f>DATOS!C76</f>
        <v>0</v>
      </c>
      <c r="C77" s="101" t="str">
        <f>DATOS!G76</f>
        <v xml:space="preserve">  </v>
      </c>
      <c r="D77" s="102">
        <f>DATOS!H76</f>
        <v>0</v>
      </c>
      <c r="E77" s="103">
        <f>DATOS!I76</f>
        <v>0</v>
      </c>
      <c r="F77" s="104">
        <f>DATOS!J76</f>
        <v>0</v>
      </c>
      <c r="G77" s="104">
        <f>DATOS!L76</f>
        <v>0</v>
      </c>
      <c r="H77" s="104">
        <f>DATOS!N76</f>
        <v>0</v>
      </c>
      <c r="I77" s="105"/>
      <c r="J77" s="1"/>
    </row>
    <row r="78" spans="1:10" x14ac:dyDescent="0.3">
      <c r="A78" s="1">
        <f>DATOS!B77</f>
        <v>75</v>
      </c>
      <c r="B78" s="100">
        <f>DATOS!C77</f>
        <v>0</v>
      </c>
      <c r="C78" s="101" t="str">
        <f>DATOS!G77</f>
        <v xml:space="preserve">  </v>
      </c>
      <c r="D78" s="102">
        <f>DATOS!H77</f>
        <v>0</v>
      </c>
      <c r="E78" s="103">
        <f>DATOS!I77</f>
        <v>0</v>
      </c>
      <c r="F78" s="104">
        <f>DATOS!J77</f>
        <v>0</v>
      </c>
      <c r="G78" s="104">
        <f>DATOS!L77</f>
        <v>0</v>
      </c>
      <c r="H78" s="104">
        <f>DATOS!N77</f>
        <v>0</v>
      </c>
      <c r="I78" s="105"/>
      <c r="J78" s="1"/>
    </row>
    <row r="79" spans="1:10" x14ac:dyDescent="0.3">
      <c r="A79" s="1">
        <f>DATOS!B78</f>
        <v>76</v>
      </c>
      <c r="B79" s="100">
        <f>DATOS!C78</f>
        <v>0</v>
      </c>
      <c r="C79" s="101" t="str">
        <f>DATOS!G78</f>
        <v xml:space="preserve">  </v>
      </c>
      <c r="D79" s="102">
        <f>DATOS!H78</f>
        <v>0</v>
      </c>
      <c r="E79" s="103">
        <f>DATOS!I78</f>
        <v>0</v>
      </c>
      <c r="F79" s="104">
        <f>DATOS!J78</f>
        <v>0</v>
      </c>
      <c r="G79" s="104">
        <f>DATOS!L78</f>
        <v>0</v>
      </c>
      <c r="H79" s="104">
        <f>DATOS!N78</f>
        <v>0</v>
      </c>
      <c r="I79" s="105"/>
      <c r="J79" s="1"/>
    </row>
    <row r="80" spans="1:10" x14ac:dyDescent="0.3">
      <c r="A80" s="1">
        <f>DATOS!B79</f>
        <v>77</v>
      </c>
      <c r="B80" s="100">
        <f>DATOS!C79</f>
        <v>0</v>
      </c>
      <c r="C80" s="101" t="str">
        <f>DATOS!G79</f>
        <v xml:space="preserve">  </v>
      </c>
      <c r="D80" s="102">
        <f>DATOS!H79</f>
        <v>0</v>
      </c>
      <c r="E80" s="103">
        <f>DATOS!I79</f>
        <v>0</v>
      </c>
      <c r="F80" s="104">
        <f>DATOS!J79</f>
        <v>0</v>
      </c>
      <c r="G80" s="104">
        <f>DATOS!L79</f>
        <v>0</v>
      </c>
      <c r="H80" s="104">
        <f>DATOS!N79</f>
        <v>0</v>
      </c>
      <c r="I80" s="105"/>
      <c r="J80" s="1"/>
    </row>
    <row r="81" spans="1:10" x14ac:dyDescent="0.3">
      <c r="A81" s="1">
        <f>DATOS!B80</f>
        <v>78</v>
      </c>
      <c r="B81" s="100">
        <f>DATOS!C80</f>
        <v>0</v>
      </c>
      <c r="C81" s="101" t="str">
        <f>DATOS!G80</f>
        <v xml:space="preserve">  </v>
      </c>
      <c r="D81" s="102">
        <f>DATOS!H80</f>
        <v>0</v>
      </c>
      <c r="E81" s="103">
        <f>DATOS!I80</f>
        <v>0</v>
      </c>
      <c r="F81" s="104">
        <f>DATOS!J80</f>
        <v>0</v>
      </c>
      <c r="G81" s="104">
        <f>DATOS!L80</f>
        <v>0</v>
      </c>
      <c r="H81" s="104">
        <f>DATOS!N80</f>
        <v>0</v>
      </c>
      <c r="I81" s="105"/>
      <c r="J81" s="1"/>
    </row>
    <row r="82" spans="1:10" x14ac:dyDescent="0.3">
      <c r="A82" s="1">
        <f>DATOS!B81</f>
        <v>79</v>
      </c>
      <c r="B82" s="100">
        <f>DATOS!C81</f>
        <v>0</v>
      </c>
      <c r="C82" s="101" t="str">
        <f>DATOS!G81</f>
        <v xml:space="preserve">  </v>
      </c>
      <c r="D82" s="102">
        <f>DATOS!H81</f>
        <v>0</v>
      </c>
      <c r="E82" s="103">
        <f>DATOS!I81</f>
        <v>0</v>
      </c>
      <c r="F82" s="104">
        <f>DATOS!J81</f>
        <v>0</v>
      </c>
      <c r="G82" s="104">
        <f>DATOS!L81</f>
        <v>0</v>
      </c>
      <c r="H82" s="104">
        <f>DATOS!N81</f>
        <v>0</v>
      </c>
      <c r="I82" s="105"/>
      <c r="J82" s="1"/>
    </row>
    <row r="83" spans="1:10" x14ac:dyDescent="0.3">
      <c r="A83" s="1">
        <f>DATOS!B82</f>
        <v>80</v>
      </c>
      <c r="B83" s="100">
        <f>DATOS!C82</f>
        <v>0</v>
      </c>
      <c r="C83" s="101" t="str">
        <f>DATOS!G82</f>
        <v xml:space="preserve">  </v>
      </c>
      <c r="D83" s="102">
        <f>DATOS!H82</f>
        <v>0</v>
      </c>
      <c r="E83" s="103">
        <f>DATOS!I82</f>
        <v>0</v>
      </c>
      <c r="F83" s="104">
        <f>DATOS!J82</f>
        <v>0</v>
      </c>
      <c r="G83" s="104">
        <f>DATOS!L82</f>
        <v>0</v>
      </c>
      <c r="H83" s="104">
        <f>DATOS!N82</f>
        <v>0</v>
      </c>
      <c r="I83" s="105"/>
      <c r="J83" s="1"/>
    </row>
    <row r="84" spans="1:10" x14ac:dyDescent="0.3">
      <c r="A84" s="1">
        <f>DATOS!B83</f>
        <v>81</v>
      </c>
      <c r="B84" s="100">
        <f>DATOS!C83</f>
        <v>0</v>
      </c>
      <c r="C84" s="101" t="str">
        <f>DATOS!G83</f>
        <v xml:space="preserve">  </v>
      </c>
      <c r="D84" s="102">
        <f>DATOS!H83</f>
        <v>0</v>
      </c>
      <c r="E84" s="103">
        <f>DATOS!I83</f>
        <v>0</v>
      </c>
      <c r="F84" s="104">
        <f>DATOS!J83</f>
        <v>0</v>
      </c>
      <c r="G84" s="104">
        <f>DATOS!L83</f>
        <v>0</v>
      </c>
      <c r="H84" s="104">
        <f>DATOS!N83</f>
        <v>0</v>
      </c>
      <c r="I84" s="105"/>
      <c r="J84" s="1"/>
    </row>
    <row r="85" spans="1:10" x14ac:dyDescent="0.3">
      <c r="A85" s="1">
        <f>DATOS!B84</f>
        <v>82</v>
      </c>
      <c r="B85" s="100">
        <f>DATOS!C84</f>
        <v>0</v>
      </c>
      <c r="C85" s="101" t="str">
        <f>DATOS!G84</f>
        <v xml:space="preserve">  </v>
      </c>
      <c r="D85" s="102">
        <f>DATOS!H84</f>
        <v>0</v>
      </c>
      <c r="E85" s="103">
        <f>DATOS!I84</f>
        <v>0</v>
      </c>
      <c r="F85" s="104">
        <f>DATOS!J84</f>
        <v>0</v>
      </c>
      <c r="G85" s="104">
        <f>DATOS!L84</f>
        <v>0</v>
      </c>
      <c r="H85" s="104">
        <f>DATOS!N84</f>
        <v>0</v>
      </c>
      <c r="I85" s="105"/>
      <c r="J85" s="1"/>
    </row>
    <row r="86" spans="1:10" x14ac:dyDescent="0.3">
      <c r="A86" s="1">
        <f>DATOS!B85</f>
        <v>83</v>
      </c>
      <c r="B86" s="100">
        <f>DATOS!C85</f>
        <v>0</v>
      </c>
      <c r="C86" s="101" t="str">
        <f>DATOS!G85</f>
        <v xml:space="preserve">  </v>
      </c>
      <c r="D86" s="102">
        <f>DATOS!H85</f>
        <v>0</v>
      </c>
      <c r="E86" s="103">
        <f>DATOS!I85</f>
        <v>0</v>
      </c>
      <c r="F86" s="104">
        <f>DATOS!J85</f>
        <v>0</v>
      </c>
      <c r="G86" s="104">
        <f>DATOS!L85</f>
        <v>0</v>
      </c>
      <c r="H86" s="104">
        <f>DATOS!N85</f>
        <v>0</v>
      </c>
      <c r="I86" s="105"/>
      <c r="J86" s="1"/>
    </row>
    <row r="87" spans="1:10" x14ac:dyDescent="0.3">
      <c r="A87" s="1">
        <f>DATOS!B86</f>
        <v>84</v>
      </c>
      <c r="B87" s="100">
        <f>DATOS!C86</f>
        <v>0</v>
      </c>
      <c r="C87" s="101" t="str">
        <f>DATOS!G86</f>
        <v xml:space="preserve">  </v>
      </c>
      <c r="D87" s="102">
        <f>DATOS!H86</f>
        <v>0</v>
      </c>
      <c r="E87" s="103">
        <f>DATOS!I86</f>
        <v>0</v>
      </c>
      <c r="F87" s="104">
        <f>DATOS!J86</f>
        <v>0</v>
      </c>
      <c r="G87" s="104">
        <f>DATOS!L86</f>
        <v>0</v>
      </c>
      <c r="H87" s="104">
        <f>DATOS!N86</f>
        <v>0</v>
      </c>
      <c r="I87" s="105"/>
      <c r="J87" s="1"/>
    </row>
    <row r="88" spans="1:10" x14ac:dyDescent="0.3">
      <c r="A88" s="1">
        <f>DATOS!B87</f>
        <v>85</v>
      </c>
      <c r="B88" s="100">
        <f>DATOS!C87</f>
        <v>0</v>
      </c>
      <c r="C88" s="101" t="str">
        <f>DATOS!G87</f>
        <v xml:space="preserve">  </v>
      </c>
      <c r="D88" s="102">
        <f>DATOS!H87</f>
        <v>0</v>
      </c>
      <c r="E88" s="103">
        <f>DATOS!I87</f>
        <v>0</v>
      </c>
      <c r="F88" s="104">
        <f>DATOS!J87</f>
        <v>0</v>
      </c>
      <c r="G88" s="104">
        <f>DATOS!L87</f>
        <v>0</v>
      </c>
      <c r="H88" s="104">
        <f>DATOS!N87</f>
        <v>0</v>
      </c>
      <c r="I88" s="105"/>
      <c r="J88" s="1"/>
    </row>
    <row r="89" spans="1:10" x14ac:dyDescent="0.3">
      <c r="A89" s="1">
        <f>DATOS!B88</f>
        <v>86</v>
      </c>
      <c r="B89" s="100">
        <f>DATOS!C88</f>
        <v>0</v>
      </c>
      <c r="C89" s="101" t="str">
        <f>DATOS!G88</f>
        <v xml:space="preserve">  </v>
      </c>
      <c r="D89" s="102">
        <f>DATOS!H88</f>
        <v>0</v>
      </c>
      <c r="E89" s="103">
        <f>DATOS!I88</f>
        <v>0</v>
      </c>
      <c r="F89" s="104">
        <f>DATOS!J88</f>
        <v>0</v>
      </c>
      <c r="G89" s="104">
        <f>DATOS!L88</f>
        <v>0</v>
      </c>
      <c r="H89" s="104">
        <f>DATOS!N88</f>
        <v>0</v>
      </c>
      <c r="I89" s="105"/>
      <c r="J89" s="1"/>
    </row>
    <row r="90" spans="1:10" x14ac:dyDescent="0.3">
      <c r="A90" s="1">
        <f>DATOS!B89</f>
        <v>87</v>
      </c>
      <c r="B90" s="100">
        <f>DATOS!C89</f>
        <v>0</v>
      </c>
      <c r="C90" s="101" t="str">
        <f>DATOS!G89</f>
        <v xml:space="preserve">  </v>
      </c>
      <c r="D90" s="102">
        <f>DATOS!H89</f>
        <v>0</v>
      </c>
      <c r="E90" s="103">
        <f>DATOS!I89</f>
        <v>0</v>
      </c>
      <c r="F90" s="104">
        <f>DATOS!J89</f>
        <v>0</v>
      </c>
      <c r="G90" s="104">
        <f>DATOS!L89</f>
        <v>0</v>
      </c>
      <c r="H90" s="104">
        <f>DATOS!N89</f>
        <v>0</v>
      </c>
      <c r="I90" s="105"/>
      <c r="J90" s="1"/>
    </row>
    <row r="91" spans="1:10" x14ac:dyDescent="0.3">
      <c r="A91" s="1">
        <f>DATOS!B90</f>
        <v>88</v>
      </c>
      <c r="B91" s="100">
        <f>DATOS!C90</f>
        <v>0</v>
      </c>
      <c r="C91" s="101" t="str">
        <f>DATOS!G90</f>
        <v xml:space="preserve">  </v>
      </c>
      <c r="D91" s="102">
        <f>DATOS!H90</f>
        <v>0</v>
      </c>
      <c r="E91" s="103">
        <f>DATOS!I90</f>
        <v>0</v>
      </c>
      <c r="F91" s="104">
        <f>DATOS!J90</f>
        <v>0</v>
      </c>
      <c r="G91" s="104">
        <f>DATOS!L90</f>
        <v>0</v>
      </c>
      <c r="H91" s="104">
        <f>DATOS!N90</f>
        <v>0</v>
      </c>
      <c r="I91" s="105"/>
      <c r="J91" s="1"/>
    </row>
    <row r="92" spans="1:10" x14ac:dyDescent="0.3">
      <c r="A92" s="1">
        <f>DATOS!B91</f>
        <v>89</v>
      </c>
      <c r="B92" s="100">
        <f>DATOS!C91</f>
        <v>0</v>
      </c>
      <c r="C92" s="101" t="str">
        <f>DATOS!G91</f>
        <v xml:space="preserve">  </v>
      </c>
      <c r="D92" s="102">
        <f>DATOS!H91</f>
        <v>0</v>
      </c>
      <c r="E92" s="103">
        <f>DATOS!I91</f>
        <v>0</v>
      </c>
      <c r="F92" s="104">
        <f>DATOS!J91</f>
        <v>0</v>
      </c>
      <c r="G92" s="104">
        <f>DATOS!L91</f>
        <v>0</v>
      </c>
      <c r="H92" s="104">
        <f>DATOS!N91</f>
        <v>0</v>
      </c>
      <c r="I92" s="105"/>
      <c r="J92" s="1"/>
    </row>
    <row r="93" spans="1:10" x14ac:dyDescent="0.3">
      <c r="A93" s="1">
        <f>DATOS!B92</f>
        <v>90</v>
      </c>
      <c r="B93" s="100">
        <f>DATOS!C92</f>
        <v>0</v>
      </c>
      <c r="C93" s="101" t="str">
        <f>DATOS!G92</f>
        <v xml:space="preserve">  </v>
      </c>
      <c r="D93" s="102">
        <f>DATOS!H92</f>
        <v>0</v>
      </c>
      <c r="E93" s="103">
        <f>DATOS!I92</f>
        <v>0</v>
      </c>
      <c r="F93" s="104">
        <f>DATOS!J92</f>
        <v>0</v>
      </c>
      <c r="G93" s="104">
        <f>DATOS!L92</f>
        <v>0</v>
      </c>
      <c r="H93" s="104">
        <f>DATOS!N92</f>
        <v>0</v>
      </c>
      <c r="I93" s="105"/>
      <c r="J93" s="1"/>
    </row>
    <row r="94" spans="1:10" x14ac:dyDescent="0.3">
      <c r="A94" s="1">
        <f>DATOS!B93</f>
        <v>91</v>
      </c>
      <c r="B94" s="100">
        <f>DATOS!C93</f>
        <v>0</v>
      </c>
      <c r="C94" s="101" t="str">
        <f>DATOS!G93</f>
        <v xml:space="preserve">  </v>
      </c>
      <c r="D94" s="102">
        <f>DATOS!H93</f>
        <v>0</v>
      </c>
      <c r="E94" s="103">
        <f>DATOS!I93</f>
        <v>0</v>
      </c>
      <c r="F94" s="104">
        <f>DATOS!J93</f>
        <v>0</v>
      </c>
      <c r="G94" s="104">
        <f>DATOS!L93</f>
        <v>0</v>
      </c>
      <c r="H94" s="104">
        <f>DATOS!N93</f>
        <v>0</v>
      </c>
      <c r="I94" s="105"/>
      <c r="J94" s="1"/>
    </row>
    <row r="95" spans="1:10" x14ac:dyDescent="0.3">
      <c r="A95" s="1">
        <f>DATOS!B94</f>
        <v>92</v>
      </c>
      <c r="B95" s="100">
        <f>DATOS!C94</f>
        <v>0</v>
      </c>
      <c r="C95" s="101" t="str">
        <f>DATOS!G94</f>
        <v xml:space="preserve">  </v>
      </c>
      <c r="D95" s="102">
        <f>DATOS!H94</f>
        <v>0</v>
      </c>
      <c r="E95" s="103">
        <f>DATOS!I94</f>
        <v>0</v>
      </c>
      <c r="F95" s="104">
        <f>DATOS!J94</f>
        <v>0</v>
      </c>
      <c r="G95" s="104">
        <f>DATOS!L94</f>
        <v>0</v>
      </c>
      <c r="H95" s="104">
        <f>DATOS!N94</f>
        <v>0</v>
      </c>
      <c r="I95" s="105"/>
      <c r="J95" s="1"/>
    </row>
    <row r="96" spans="1:10" x14ac:dyDescent="0.3">
      <c r="A96" s="1">
        <f>DATOS!B95</f>
        <v>93</v>
      </c>
      <c r="B96" s="100">
        <f>DATOS!C95</f>
        <v>0</v>
      </c>
      <c r="C96" s="101" t="str">
        <f>DATOS!G95</f>
        <v xml:space="preserve">  </v>
      </c>
      <c r="D96" s="102">
        <f>DATOS!H95</f>
        <v>0</v>
      </c>
      <c r="E96" s="103">
        <f>DATOS!I95</f>
        <v>0</v>
      </c>
      <c r="F96" s="104">
        <f>DATOS!J95</f>
        <v>0</v>
      </c>
      <c r="G96" s="104">
        <f>DATOS!L95</f>
        <v>0</v>
      </c>
      <c r="H96" s="104">
        <f>DATOS!N95</f>
        <v>0</v>
      </c>
      <c r="I96" s="105"/>
      <c r="J96" s="1"/>
    </row>
    <row r="97" spans="1:10" x14ac:dyDescent="0.3">
      <c r="A97" s="1">
        <f>DATOS!B96</f>
        <v>94</v>
      </c>
      <c r="B97" s="100">
        <f>DATOS!C96</f>
        <v>0</v>
      </c>
      <c r="C97" s="101" t="str">
        <f>DATOS!G96</f>
        <v xml:space="preserve">  </v>
      </c>
      <c r="D97" s="102">
        <f>DATOS!H96</f>
        <v>0</v>
      </c>
      <c r="E97" s="103">
        <f>DATOS!I96</f>
        <v>0</v>
      </c>
      <c r="F97" s="104">
        <f>DATOS!J96</f>
        <v>0</v>
      </c>
      <c r="G97" s="104">
        <f>DATOS!L96</f>
        <v>0</v>
      </c>
      <c r="H97" s="104">
        <f>DATOS!N96</f>
        <v>0</v>
      </c>
      <c r="I97" s="105"/>
      <c r="J97" s="1"/>
    </row>
    <row r="98" spans="1:10" x14ac:dyDescent="0.3">
      <c r="A98" s="1">
        <f>DATOS!B97</f>
        <v>95</v>
      </c>
      <c r="B98" s="100">
        <f>DATOS!C97</f>
        <v>0</v>
      </c>
      <c r="C98" s="101" t="str">
        <f>DATOS!G97</f>
        <v xml:space="preserve">  </v>
      </c>
      <c r="D98" s="102">
        <f>DATOS!H97</f>
        <v>0</v>
      </c>
      <c r="E98" s="103">
        <f>DATOS!I97</f>
        <v>0</v>
      </c>
      <c r="F98" s="104">
        <f>DATOS!J97</f>
        <v>0</v>
      </c>
      <c r="G98" s="104">
        <f>DATOS!L97</f>
        <v>0</v>
      </c>
      <c r="H98" s="104">
        <f>DATOS!N97</f>
        <v>0</v>
      </c>
      <c r="I98" s="105"/>
      <c r="J98" s="1"/>
    </row>
    <row r="99" spans="1:10" x14ac:dyDescent="0.3">
      <c r="A99" s="1">
        <f>DATOS!B98</f>
        <v>96</v>
      </c>
      <c r="B99" s="100">
        <f>DATOS!C98</f>
        <v>0</v>
      </c>
      <c r="C99" s="101" t="str">
        <f>DATOS!G98</f>
        <v xml:space="preserve">  </v>
      </c>
      <c r="D99" s="102">
        <f>DATOS!H98</f>
        <v>0</v>
      </c>
      <c r="E99" s="103">
        <f>DATOS!I98</f>
        <v>0</v>
      </c>
      <c r="F99" s="104">
        <f>DATOS!J98</f>
        <v>0</v>
      </c>
      <c r="G99" s="104">
        <f>DATOS!L98</f>
        <v>0</v>
      </c>
      <c r="H99" s="104">
        <f>DATOS!N98</f>
        <v>0</v>
      </c>
      <c r="I99" s="105"/>
      <c r="J99" s="1"/>
    </row>
    <row r="100" spans="1:10" x14ac:dyDescent="0.3">
      <c r="A100" s="1">
        <f>DATOS!B99</f>
        <v>97</v>
      </c>
      <c r="B100" s="100">
        <f>DATOS!C99</f>
        <v>0</v>
      </c>
      <c r="C100" s="101" t="str">
        <f>DATOS!G99</f>
        <v xml:space="preserve">  </v>
      </c>
      <c r="D100" s="102">
        <f>DATOS!H99</f>
        <v>0</v>
      </c>
      <c r="E100" s="103">
        <f>DATOS!I99</f>
        <v>0</v>
      </c>
      <c r="F100" s="104">
        <f>DATOS!J99</f>
        <v>0</v>
      </c>
      <c r="G100" s="104">
        <f>DATOS!L99</f>
        <v>0</v>
      </c>
      <c r="H100" s="104">
        <f>DATOS!N99</f>
        <v>0</v>
      </c>
      <c r="I100" s="105"/>
      <c r="J100" s="1"/>
    </row>
    <row r="101" spans="1:10" x14ac:dyDescent="0.3">
      <c r="A101" s="1">
        <f>DATOS!B100</f>
        <v>98</v>
      </c>
      <c r="B101" s="100">
        <f>DATOS!C100</f>
        <v>0</v>
      </c>
      <c r="C101" s="101" t="str">
        <f>DATOS!G100</f>
        <v xml:space="preserve">  </v>
      </c>
      <c r="D101" s="102">
        <f>DATOS!H100</f>
        <v>0</v>
      </c>
      <c r="E101" s="103">
        <f>DATOS!I100</f>
        <v>0</v>
      </c>
      <c r="F101" s="104">
        <f>DATOS!J100</f>
        <v>0</v>
      </c>
      <c r="G101" s="104">
        <f>DATOS!L100</f>
        <v>0</v>
      </c>
      <c r="H101" s="104">
        <f>DATOS!N100</f>
        <v>0</v>
      </c>
      <c r="I101" s="105"/>
      <c r="J101" s="1"/>
    </row>
    <row r="102" spans="1:10" x14ac:dyDescent="0.3">
      <c r="A102" s="1">
        <f>DATOS!B101</f>
        <v>99</v>
      </c>
      <c r="B102" s="100">
        <f>DATOS!C101</f>
        <v>0</v>
      </c>
      <c r="C102" s="101" t="str">
        <f>DATOS!G101</f>
        <v xml:space="preserve">  </v>
      </c>
      <c r="D102" s="102">
        <f>DATOS!H101</f>
        <v>0</v>
      </c>
      <c r="E102" s="103">
        <f>DATOS!I101</f>
        <v>0</v>
      </c>
      <c r="F102" s="104">
        <f>DATOS!J101</f>
        <v>0</v>
      </c>
      <c r="G102" s="104">
        <f>DATOS!L101</f>
        <v>0</v>
      </c>
      <c r="H102" s="104">
        <f>DATOS!N101</f>
        <v>0</v>
      </c>
      <c r="I102" s="105"/>
      <c r="J102" s="1"/>
    </row>
    <row r="103" spans="1:10" x14ac:dyDescent="0.3">
      <c r="A103" s="1">
        <f>DATOS!B102</f>
        <v>100</v>
      </c>
      <c r="B103" s="100">
        <f>DATOS!C102</f>
        <v>0</v>
      </c>
      <c r="C103" s="101" t="str">
        <f>DATOS!G102</f>
        <v xml:space="preserve">  </v>
      </c>
      <c r="D103" s="102">
        <f>DATOS!H102</f>
        <v>0</v>
      </c>
      <c r="E103" s="103">
        <f>DATOS!I102</f>
        <v>0</v>
      </c>
      <c r="F103" s="104">
        <f>DATOS!J102</f>
        <v>0</v>
      </c>
      <c r="G103" s="104">
        <f>DATOS!L102</f>
        <v>0</v>
      </c>
      <c r="H103" s="104">
        <f>DATOS!N102</f>
        <v>0</v>
      </c>
      <c r="I103" s="105"/>
      <c r="J103" s="1"/>
    </row>
    <row r="104" spans="1:10" x14ac:dyDescent="0.3">
      <c r="A104" s="1">
        <f>DATOS!B103</f>
        <v>101</v>
      </c>
      <c r="B104" s="100">
        <f>DATOS!C103</f>
        <v>0</v>
      </c>
      <c r="C104" s="101" t="str">
        <f>DATOS!G103</f>
        <v xml:space="preserve">  </v>
      </c>
      <c r="D104" s="102">
        <f>DATOS!H103</f>
        <v>0</v>
      </c>
      <c r="E104" s="103">
        <f>DATOS!I103</f>
        <v>0</v>
      </c>
      <c r="F104" s="104">
        <f>DATOS!J103</f>
        <v>0</v>
      </c>
      <c r="G104" s="104">
        <f>DATOS!L103</f>
        <v>0</v>
      </c>
      <c r="H104" s="104">
        <f>DATOS!N103</f>
        <v>0</v>
      </c>
      <c r="I104" s="105"/>
      <c r="J104" s="1"/>
    </row>
    <row r="105" spans="1:10" x14ac:dyDescent="0.3">
      <c r="A105" s="1">
        <f>DATOS!B104</f>
        <v>102</v>
      </c>
      <c r="B105" s="100">
        <f>DATOS!C104</f>
        <v>0</v>
      </c>
      <c r="C105" s="101" t="str">
        <f>DATOS!G104</f>
        <v xml:space="preserve">  </v>
      </c>
      <c r="D105" s="102">
        <f>DATOS!H104</f>
        <v>0</v>
      </c>
      <c r="E105" s="103">
        <f>DATOS!I104</f>
        <v>0</v>
      </c>
      <c r="F105" s="104">
        <f>DATOS!J104</f>
        <v>0</v>
      </c>
      <c r="G105" s="104">
        <f>DATOS!L104</f>
        <v>0</v>
      </c>
      <c r="H105" s="104">
        <f>DATOS!N104</f>
        <v>0</v>
      </c>
      <c r="I105" s="105"/>
      <c r="J105" s="1"/>
    </row>
    <row r="106" spans="1:10" x14ac:dyDescent="0.3">
      <c r="A106" s="1">
        <f>DATOS!B105</f>
        <v>103</v>
      </c>
      <c r="B106" s="100">
        <f>DATOS!C105</f>
        <v>0</v>
      </c>
      <c r="C106" s="101" t="str">
        <f>DATOS!G105</f>
        <v xml:space="preserve">  </v>
      </c>
      <c r="D106" s="102">
        <f>DATOS!H105</f>
        <v>0</v>
      </c>
      <c r="E106" s="103">
        <f>DATOS!I105</f>
        <v>0</v>
      </c>
      <c r="F106" s="104">
        <f>DATOS!J105</f>
        <v>0</v>
      </c>
      <c r="G106" s="104">
        <f>DATOS!L105</f>
        <v>0</v>
      </c>
      <c r="H106" s="104">
        <f>DATOS!N105</f>
        <v>0</v>
      </c>
      <c r="I106" s="105"/>
      <c r="J106" s="1"/>
    </row>
    <row r="107" spans="1:10" x14ac:dyDescent="0.3">
      <c r="A107" s="1">
        <f>DATOS!B106</f>
        <v>104</v>
      </c>
      <c r="B107" s="100">
        <f>DATOS!C106</f>
        <v>0</v>
      </c>
      <c r="C107" s="101" t="str">
        <f>DATOS!G106</f>
        <v xml:space="preserve">  </v>
      </c>
      <c r="D107" s="102">
        <f>DATOS!H106</f>
        <v>0</v>
      </c>
      <c r="E107" s="103">
        <f>DATOS!I106</f>
        <v>0</v>
      </c>
      <c r="F107" s="104">
        <f>DATOS!J106</f>
        <v>0</v>
      </c>
      <c r="G107" s="104">
        <f>DATOS!L106</f>
        <v>0</v>
      </c>
      <c r="H107" s="104">
        <f>DATOS!N106</f>
        <v>0</v>
      </c>
      <c r="I107" s="105"/>
      <c r="J107" s="1"/>
    </row>
    <row r="108" spans="1:10" x14ac:dyDescent="0.3">
      <c r="A108" s="1">
        <f>DATOS!B107</f>
        <v>105</v>
      </c>
      <c r="B108" s="100">
        <f>DATOS!C107</f>
        <v>0</v>
      </c>
      <c r="C108" s="101" t="str">
        <f>DATOS!G107</f>
        <v xml:space="preserve">  </v>
      </c>
      <c r="D108" s="102">
        <f>DATOS!H107</f>
        <v>0</v>
      </c>
      <c r="E108" s="103">
        <f>DATOS!I107</f>
        <v>0</v>
      </c>
      <c r="F108" s="104">
        <f>DATOS!J107</f>
        <v>0</v>
      </c>
      <c r="G108" s="104">
        <f>DATOS!L107</f>
        <v>0</v>
      </c>
      <c r="H108" s="104">
        <f>DATOS!N107</f>
        <v>0</v>
      </c>
      <c r="I108" s="105"/>
      <c r="J108" s="1"/>
    </row>
    <row r="109" spans="1:10" x14ac:dyDescent="0.3">
      <c r="A109" s="1">
        <f>DATOS!B108</f>
        <v>106</v>
      </c>
      <c r="B109" s="100">
        <f>DATOS!C108</f>
        <v>0</v>
      </c>
      <c r="C109" s="101" t="str">
        <f>DATOS!G108</f>
        <v xml:space="preserve">  </v>
      </c>
      <c r="D109" s="102">
        <f>DATOS!H108</f>
        <v>0</v>
      </c>
      <c r="E109" s="103">
        <f>DATOS!I108</f>
        <v>0</v>
      </c>
      <c r="F109" s="104">
        <f>DATOS!J108</f>
        <v>0</v>
      </c>
      <c r="G109" s="104">
        <f>DATOS!L108</f>
        <v>0</v>
      </c>
      <c r="H109" s="104">
        <f>DATOS!N108</f>
        <v>0</v>
      </c>
      <c r="I109" s="105"/>
      <c r="J109" s="1"/>
    </row>
    <row r="110" spans="1:10" x14ac:dyDescent="0.3">
      <c r="A110" s="1">
        <f>DATOS!B109</f>
        <v>107</v>
      </c>
      <c r="B110" s="100">
        <f>DATOS!C109</f>
        <v>0</v>
      </c>
      <c r="C110" s="101" t="str">
        <f>DATOS!G109</f>
        <v xml:space="preserve">  </v>
      </c>
      <c r="D110" s="102">
        <f>DATOS!H109</f>
        <v>0</v>
      </c>
      <c r="E110" s="103">
        <f>DATOS!I109</f>
        <v>0</v>
      </c>
      <c r="F110" s="104">
        <f>DATOS!J109</f>
        <v>0</v>
      </c>
      <c r="G110" s="104">
        <f>DATOS!L109</f>
        <v>0</v>
      </c>
      <c r="H110" s="104">
        <f>DATOS!N109</f>
        <v>0</v>
      </c>
      <c r="I110" s="105"/>
      <c r="J110" s="1"/>
    </row>
    <row r="111" spans="1:10" x14ac:dyDescent="0.3">
      <c r="A111" s="1">
        <f>DATOS!B110</f>
        <v>108</v>
      </c>
      <c r="B111" s="100">
        <f>DATOS!C110</f>
        <v>0</v>
      </c>
      <c r="C111" s="101" t="str">
        <f>DATOS!G110</f>
        <v xml:space="preserve">  </v>
      </c>
      <c r="D111" s="102">
        <f>DATOS!H110</f>
        <v>0</v>
      </c>
      <c r="E111" s="103">
        <f>DATOS!I110</f>
        <v>0</v>
      </c>
      <c r="F111" s="104">
        <f>DATOS!J110</f>
        <v>0</v>
      </c>
      <c r="G111" s="104">
        <f>DATOS!L110</f>
        <v>0</v>
      </c>
      <c r="H111" s="104">
        <f>DATOS!N110</f>
        <v>0</v>
      </c>
      <c r="I111" s="105"/>
      <c r="J111" s="1"/>
    </row>
    <row r="112" spans="1:10" x14ac:dyDescent="0.3">
      <c r="A112" s="1">
        <f>DATOS!B111</f>
        <v>109</v>
      </c>
      <c r="B112" s="100">
        <f>DATOS!C111</f>
        <v>0</v>
      </c>
      <c r="C112" s="101" t="str">
        <f>DATOS!G111</f>
        <v xml:space="preserve">  </v>
      </c>
      <c r="D112" s="102">
        <f>DATOS!H111</f>
        <v>0</v>
      </c>
      <c r="E112" s="103">
        <f>DATOS!I111</f>
        <v>0</v>
      </c>
      <c r="F112" s="104">
        <f>DATOS!J111</f>
        <v>0</v>
      </c>
      <c r="G112" s="104">
        <f>DATOS!L111</f>
        <v>0</v>
      </c>
      <c r="H112" s="104">
        <f>DATOS!N111</f>
        <v>0</v>
      </c>
      <c r="I112" s="105"/>
      <c r="J112" s="1"/>
    </row>
    <row r="113" spans="1:10" x14ac:dyDescent="0.3">
      <c r="A113" s="1">
        <f>DATOS!B112</f>
        <v>110</v>
      </c>
      <c r="B113" s="100">
        <f>DATOS!C112</f>
        <v>0</v>
      </c>
      <c r="C113" s="101" t="str">
        <f>DATOS!G112</f>
        <v xml:space="preserve">  </v>
      </c>
      <c r="D113" s="102">
        <f>DATOS!H112</f>
        <v>0</v>
      </c>
      <c r="E113" s="103">
        <f>DATOS!I112</f>
        <v>0</v>
      </c>
      <c r="F113" s="104">
        <f>DATOS!J112</f>
        <v>0</v>
      </c>
      <c r="G113" s="104">
        <f>DATOS!L112</f>
        <v>0</v>
      </c>
      <c r="H113" s="104">
        <f>DATOS!N112</f>
        <v>0</v>
      </c>
      <c r="I113" s="105"/>
      <c r="J113" s="1"/>
    </row>
    <row r="114" spans="1:10" x14ac:dyDescent="0.3">
      <c r="A114" s="1">
        <f>DATOS!B113</f>
        <v>111</v>
      </c>
      <c r="B114" s="100">
        <f>DATOS!C113</f>
        <v>0</v>
      </c>
      <c r="C114" s="101" t="str">
        <f>DATOS!G113</f>
        <v xml:space="preserve">  </v>
      </c>
      <c r="D114" s="102">
        <f>DATOS!H113</f>
        <v>0</v>
      </c>
      <c r="E114" s="103">
        <f>DATOS!I113</f>
        <v>0</v>
      </c>
      <c r="F114" s="104">
        <f>DATOS!J113</f>
        <v>0</v>
      </c>
      <c r="G114" s="104">
        <f>DATOS!L113</f>
        <v>0</v>
      </c>
      <c r="H114" s="104">
        <f>DATOS!N113</f>
        <v>0</v>
      </c>
      <c r="I114" s="105"/>
      <c r="J114" s="1"/>
    </row>
    <row r="115" spans="1:10" x14ac:dyDescent="0.3">
      <c r="A115" s="1">
        <f>DATOS!B114</f>
        <v>112</v>
      </c>
      <c r="B115" s="100">
        <f>DATOS!C114</f>
        <v>0</v>
      </c>
      <c r="C115" s="101" t="str">
        <f>DATOS!G114</f>
        <v xml:space="preserve">  </v>
      </c>
      <c r="D115" s="102">
        <f>DATOS!H114</f>
        <v>0</v>
      </c>
      <c r="E115" s="103">
        <f>DATOS!I114</f>
        <v>0</v>
      </c>
      <c r="F115" s="104">
        <f>DATOS!J114</f>
        <v>0</v>
      </c>
      <c r="G115" s="104">
        <f>DATOS!L114</f>
        <v>0</v>
      </c>
      <c r="H115" s="104">
        <f>DATOS!N114</f>
        <v>0</v>
      </c>
      <c r="I115" s="105"/>
      <c r="J115" s="1"/>
    </row>
    <row r="116" spans="1:10" x14ac:dyDescent="0.3">
      <c r="A116" s="1">
        <f>DATOS!B115</f>
        <v>113</v>
      </c>
      <c r="B116" s="100">
        <f>DATOS!C115</f>
        <v>0</v>
      </c>
      <c r="C116" s="101" t="str">
        <f>DATOS!G115</f>
        <v xml:space="preserve">  </v>
      </c>
      <c r="D116" s="102">
        <f>DATOS!H115</f>
        <v>0</v>
      </c>
      <c r="E116" s="103">
        <f>DATOS!I115</f>
        <v>0</v>
      </c>
      <c r="F116" s="104">
        <f>DATOS!J115</f>
        <v>0</v>
      </c>
      <c r="G116" s="104">
        <f>DATOS!L115</f>
        <v>0</v>
      </c>
      <c r="H116" s="104">
        <f>DATOS!N115</f>
        <v>0</v>
      </c>
      <c r="I116" s="105"/>
      <c r="J116" s="1"/>
    </row>
    <row r="117" spans="1:10" x14ac:dyDescent="0.3">
      <c r="A117" s="1">
        <f>DATOS!B116</f>
        <v>114</v>
      </c>
      <c r="B117" s="100">
        <f>DATOS!C116</f>
        <v>0</v>
      </c>
      <c r="C117" s="101" t="str">
        <f>DATOS!G116</f>
        <v xml:space="preserve">  </v>
      </c>
      <c r="D117" s="102">
        <f>DATOS!H116</f>
        <v>0</v>
      </c>
      <c r="E117" s="103">
        <f>DATOS!I116</f>
        <v>0</v>
      </c>
      <c r="F117" s="104">
        <f>DATOS!J116</f>
        <v>0</v>
      </c>
      <c r="G117" s="104">
        <f>DATOS!L116</f>
        <v>0</v>
      </c>
      <c r="H117" s="104">
        <f>DATOS!N116</f>
        <v>0</v>
      </c>
      <c r="I117" s="105"/>
      <c r="J117" s="1"/>
    </row>
    <row r="118" spans="1:10" x14ac:dyDescent="0.3">
      <c r="A118" s="1">
        <f>DATOS!B117</f>
        <v>115</v>
      </c>
      <c r="B118" s="100">
        <f>DATOS!C117</f>
        <v>0</v>
      </c>
      <c r="C118" s="101" t="str">
        <f>DATOS!G117</f>
        <v xml:space="preserve">  </v>
      </c>
      <c r="D118" s="102">
        <f>DATOS!H117</f>
        <v>0</v>
      </c>
      <c r="E118" s="103">
        <f>DATOS!I117</f>
        <v>0</v>
      </c>
      <c r="F118" s="104">
        <f>DATOS!J117</f>
        <v>0</v>
      </c>
      <c r="G118" s="104">
        <f>DATOS!L117</f>
        <v>0</v>
      </c>
      <c r="H118" s="104">
        <f>DATOS!N117</f>
        <v>0</v>
      </c>
      <c r="I118" s="105"/>
      <c r="J118" s="1"/>
    </row>
    <row r="119" spans="1:10" x14ac:dyDescent="0.3">
      <c r="A119" s="1">
        <f>DATOS!B118</f>
        <v>116</v>
      </c>
      <c r="B119" s="100">
        <f>DATOS!C118</f>
        <v>0</v>
      </c>
      <c r="C119" s="101" t="str">
        <f>DATOS!G118</f>
        <v xml:space="preserve">  </v>
      </c>
      <c r="D119" s="102">
        <f>DATOS!H118</f>
        <v>0</v>
      </c>
      <c r="E119" s="103">
        <f>DATOS!I118</f>
        <v>0</v>
      </c>
      <c r="F119" s="104">
        <f>DATOS!J118</f>
        <v>0</v>
      </c>
      <c r="G119" s="104">
        <f>DATOS!L118</f>
        <v>0</v>
      </c>
      <c r="H119" s="104">
        <f>DATOS!N118</f>
        <v>0</v>
      </c>
      <c r="I119" s="105"/>
      <c r="J119" s="1"/>
    </row>
    <row r="120" spans="1:10" x14ac:dyDescent="0.3">
      <c r="A120" s="1">
        <f>DATOS!B119</f>
        <v>117</v>
      </c>
      <c r="B120" s="100">
        <f>DATOS!C119</f>
        <v>0</v>
      </c>
      <c r="C120" s="101" t="str">
        <f>DATOS!G119</f>
        <v xml:space="preserve">  </v>
      </c>
      <c r="D120" s="102">
        <f>DATOS!H119</f>
        <v>0</v>
      </c>
      <c r="E120" s="103">
        <f>DATOS!I119</f>
        <v>0</v>
      </c>
      <c r="F120" s="104">
        <f>DATOS!J119</f>
        <v>0</v>
      </c>
      <c r="G120" s="104">
        <f>DATOS!L119</f>
        <v>0</v>
      </c>
      <c r="H120" s="104">
        <f>DATOS!N119</f>
        <v>0</v>
      </c>
      <c r="I120" s="105"/>
      <c r="J120" s="1"/>
    </row>
    <row r="121" spans="1:10" x14ac:dyDescent="0.3">
      <c r="A121" s="1">
        <f>DATOS!B120</f>
        <v>118</v>
      </c>
      <c r="B121" s="100">
        <f>DATOS!C120</f>
        <v>0</v>
      </c>
      <c r="C121" s="101" t="str">
        <f>DATOS!G120</f>
        <v xml:space="preserve">  </v>
      </c>
      <c r="D121" s="102">
        <f>DATOS!H120</f>
        <v>0</v>
      </c>
      <c r="E121" s="103">
        <f>DATOS!I120</f>
        <v>0</v>
      </c>
      <c r="F121" s="104">
        <f>DATOS!J120</f>
        <v>0</v>
      </c>
      <c r="G121" s="104">
        <f>DATOS!L120</f>
        <v>0</v>
      </c>
      <c r="H121" s="104">
        <f>DATOS!N120</f>
        <v>0</v>
      </c>
      <c r="I121" s="105"/>
      <c r="J121" s="1"/>
    </row>
    <row r="122" spans="1:10" x14ac:dyDescent="0.3">
      <c r="A122" s="1">
        <f>DATOS!B121</f>
        <v>119</v>
      </c>
      <c r="B122" s="100">
        <f>DATOS!C121</f>
        <v>0</v>
      </c>
      <c r="C122" s="101" t="str">
        <f>DATOS!G121</f>
        <v xml:space="preserve">  </v>
      </c>
      <c r="D122" s="102">
        <f>DATOS!H121</f>
        <v>0</v>
      </c>
      <c r="E122" s="103">
        <f>DATOS!I121</f>
        <v>0</v>
      </c>
      <c r="F122" s="104">
        <f>DATOS!J121</f>
        <v>0</v>
      </c>
      <c r="G122" s="104">
        <f>DATOS!L121</f>
        <v>0</v>
      </c>
      <c r="H122" s="104">
        <f>DATOS!N121</f>
        <v>0</v>
      </c>
      <c r="I122" s="105"/>
      <c r="J122" s="1"/>
    </row>
    <row r="123" spans="1:10" x14ac:dyDescent="0.3">
      <c r="A123" s="1">
        <f>DATOS!B122</f>
        <v>120</v>
      </c>
      <c r="B123" s="100">
        <f>DATOS!C122</f>
        <v>0</v>
      </c>
      <c r="C123" s="101" t="str">
        <f>DATOS!G122</f>
        <v xml:space="preserve">  </v>
      </c>
      <c r="D123" s="102">
        <f>DATOS!H122</f>
        <v>0</v>
      </c>
      <c r="E123" s="103">
        <f>DATOS!I122</f>
        <v>0</v>
      </c>
      <c r="F123" s="104">
        <f>DATOS!J122</f>
        <v>0</v>
      </c>
      <c r="G123" s="104">
        <f>DATOS!L122</f>
        <v>0</v>
      </c>
      <c r="H123" s="104">
        <f>DATOS!N122</f>
        <v>0</v>
      </c>
      <c r="I123" s="105"/>
      <c r="J123" s="1"/>
    </row>
    <row r="124" spans="1:10" x14ac:dyDescent="0.3">
      <c r="A124" s="1">
        <f>DATOS!B123</f>
        <v>121</v>
      </c>
      <c r="B124" s="100">
        <f>DATOS!C123</f>
        <v>0</v>
      </c>
      <c r="C124" s="101" t="str">
        <f>DATOS!G123</f>
        <v xml:space="preserve">  </v>
      </c>
      <c r="D124" s="102">
        <f>DATOS!H123</f>
        <v>0</v>
      </c>
      <c r="E124" s="103">
        <f>DATOS!I123</f>
        <v>0</v>
      </c>
      <c r="F124" s="104">
        <f>DATOS!J123</f>
        <v>0</v>
      </c>
      <c r="G124" s="104">
        <f>DATOS!L123</f>
        <v>0</v>
      </c>
      <c r="H124" s="104">
        <f>DATOS!N123</f>
        <v>0</v>
      </c>
      <c r="I124" s="105"/>
      <c r="J124" s="1"/>
    </row>
    <row r="125" spans="1:10" x14ac:dyDescent="0.3">
      <c r="A125" s="1">
        <f>DATOS!B124</f>
        <v>122</v>
      </c>
      <c r="B125" s="100">
        <f>DATOS!C124</f>
        <v>0</v>
      </c>
      <c r="C125" s="101" t="str">
        <f>DATOS!G124</f>
        <v xml:space="preserve">  </v>
      </c>
      <c r="D125" s="102">
        <f>DATOS!H124</f>
        <v>0</v>
      </c>
      <c r="E125" s="103">
        <f>DATOS!I124</f>
        <v>0</v>
      </c>
      <c r="F125" s="104">
        <f>DATOS!J124</f>
        <v>0</v>
      </c>
      <c r="G125" s="104">
        <f>DATOS!L124</f>
        <v>0</v>
      </c>
      <c r="H125" s="104">
        <f>DATOS!N124</f>
        <v>0</v>
      </c>
      <c r="I125" s="105"/>
      <c r="J125" s="1"/>
    </row>
    <row r="126" spans="1:10" x14ac:dyDescent="0.3">
      <c r="A126" s="1">
        <f>DATOS!B125</f>
        <v>123</v>
      </c>
      <c r="B126" s="100">
        <f>DATOS!C125</f>
        <v>0</v>
      </c>
      <c r="C126" s="101" t="str">
        <f>DATOS!G125</f>
        <v xml:space="preserve">  </v>
      </c>
      <c r="D126" s="102">
        <f>DATOS!H125</f>
        <v>0</v>
      </c>
      <c r="E126" s="103">
        <f>DATOS!I125</f>
        <v>0</v>
      </c>
      <c r="F126" s="104">
        <f>DATOS!J125</f>
        <v>0</v>
      </c>
      <c r="G126" s="104">
        <f>DATOS!L125</f>
        <v>0</v>
      </c>
      <c r="H126" s="104">
        <f>DATOS!N125</f>
        <v>0</v>
      </c>
      <c r="I126" s="105"/>
      <c r="J126" s="1"/>
    </row>
    <row r="127" spans="1:10" x14ac:dyDescent="0.3">
      <c r="A127" s="1">
        <f>DATOS!B126</f>
        <v>124</v>
      </c>
      <c r="B127" s="100">
        <f>DATOS!C126</f>
        <v>0</v>
      </c>
      <c r="C127" s="101" t="str">
        <f>DATOS!G126</f>
        <v xml:space="preserve">  </v>
      </c>
      <c r="D127" s="102">
        <f>DATOS!H126</f>
        <v>0</v>
      </c>
      <c r="E127" s="103">
        <f>DATOS!I126</f>
        <v>0</v>
      </c>
      <c r="F127" s="104">
        <f>DATOS!J126</f>
        <v>0</v>
      </c>
      <c r="G127" s="104">
        <f>DATOS!L126</f>
        <v>0</v>
      </c>
      <c r="H127" s="104">
        <f>DATOS!N126</f>
        <v>0</v>
      </c>
      <c r="I127" s="105"/>
      <c r="J127" s="1"/>
    </row>
    <row r="128" spans="1:10" x14ac:dyDescent="0.3">
      <c r="A128" s="1">
        <f>DATOS!B127</f>
        <v>125</v>
      </c>
      <c r="B128" s="100">
        <f>DATOS!C127</f>
        <v>0</v>
      </c>
      <c r="C128" s="101" t="str">
        <f>DATOS!G127</f>
        <v xml:space="preserve">  </v>
      </c>
      <c r="D128" s="102">
        <f>DATOS!H127</f>
        <v>0</v>
      </c>
      <c r="E128" s="103">
        <f>DATOS!I127</f>
        <v>0</v>
      </c>
      <c r="F128" s="104">
        <f>DATOS!J127</f>
        <v>0</v>
      </c>
      <c r="G128" s="104">
        <f>DATOS!L127</f>
        <v>0</v>
      </c>
      <c r="H128" s="104">
        <f>DATOS!N127</f>
        <v>0</v>
      </c>
      <c r="I128" s="105"/>
      <c r="J128" s="1"/>
    </row>
    <row r="129" spans="1:10" x14ac:dyDescent="0.3">
      <c r="A129" s="1">
        <f>DATOS!B128</f>
        <v>126</v>
      </c>
      <c r="B129" s="100">
        <f>DATOS!C128</f>
        <v>0</v>
      </c>
      <c r="C129" s="101" t="str">
        <f>DATOS!G128</f>
        <v xml:space="preserve">  </v>
      </c>
      <c r="D129" s="102">
        <f>DATOS!H128</f>
        <v>0</v>
      </c>
      <c r="E129" s="103">
        <f>DATOS!I128</f>
        <v>0</v>
      </c>
      <c r="F129" s="104">
        <f>DATOS!J128</f>
        <v>0</v>
      </c>
      <c r="G129" s="104">
        <f>DATOS!L128</f>
        <v>0</v>
      </c>
      <c r="H129" s="104">
        <f>DATOS!N128</f>
        <v>0</v>
      </c>
      <c r="I129" s="105"/>
      <c r="J129" s="1"/>
    </row>
    <row r="130" spans="1:10" x14ac:dyDescent="0.3">
      <c r="A130" s="1">
        <f>DATOS!B129</f>
        <v>127</v>
      </c>
      <c r="B130" s="100">
        <f>DATOS!C129</f>
        <v>0</v>
      </c>
      <c r="C130" s="101" t="str">
        <f>DATOS!G129</f>
        <v xml:space="preserve">  </v>
      </c>
      <c r="D130" s="102">
        <f>DATOS!H129</f>
        <v>0</v>
      </c>
      <c r="E130" s="103">
        <f>DATOS!I129</f>
        <v>0</v>
      </c>
      <c r="F130" s="104">
        <f>DATOS!J129</f>
        <v>0</v>
      </c>
      <c r="G130" s="104">
        <f>DATOS!L129</f>
        <v>0</v>
      </c>
      <c r="H130" s="104">
        <f>DATOS!N129</f>
        <v>0</v>
      </c>
      <c r="I130" s="105"/>
      <c r="J130" s="1"/>
    </row>
    <row r="131" spans="1:10" x14ac:dyDescent="0.3">
      <c r="A131" s="1">
        <f>DATOS!B130</f>
        <v>128</v>
      </c>
      <c r="B131" s="100">
        <f>DATOS!C130</f>
        <v>0</v>
      </c>
      <c r="C131" s="101" t="str">
        <f>DATOS!G130</f>
        <v xml:space="preserve">  </v>
      </c>
      <c r="D131" s="102">
        <f>DATOS!H130</f>
        <v>0</v>
      </c>
      <c r="E131" s="103">
        <f>DATOS!I130</f>
        <v>0</v>
      </c>
      <c r="F131" s="104">
        <f>DATOS!J130</f>
        <v>0</v>
      </c>
      <c r="G131" s="104">
        <f>DATOS!L130</f>
        <v>0</v>
      </c>
      <c r="H131" s="104">
        <f>DATOS!N130</f>
        <v>0</v>
      </c>
      <c r="I131" s="105"/>
      <c r="J131" s="1"/>
    </row>
    <row r="132" spans="1:10" x14ac:dyDescent="0.3">
      <c r="A132" s="1">
        <f>DATOS!B131</f>
        <v>129</v>
      </c>
      <c r="B132" s="100">
        <f>DATOS!C131</f>
        <v>0</v>
      </c>
      <c r="C132" s="101" t="str">
        <f>DATOS!G131</f>
        <v xml:space="preserve">  </v>
      </c>
      <c r="D132" s="102">
        <f>DATOS!H131</f>
        <v>0</v>
      </c>
      <c r="E132" s="103">
        <f>DATOS!I131</f>
        <v>0</v>
      </c>
      <c r="F132" s="104">
        <f>DATOS!J131</f>
        <v>0</v>
      </c>
      <c r="G132" s="104">
        <f>DATOS!L131</f>
        <v>0</v>
      </c>
      <c r="H132" s="104">
        <f>DATOS!N131</f>
        <v>0</v>
      </c>
      <c r="I132" s="105"/>
      <c r="J132" s="1"/>
    </row>
    <row r="133" spans="1:10" x14ac:dyDescent="0.3">
      <c r="A133" s="1">
        <f>DATOS!B132</f>
        <v>130</v>
      </c>
      <c r="B133" s="100">
        <f>DATOS!C132</f>
        <v>0</v>
      </c>
      <c r="C133" s="101" t="str">
        <f>DATOS!G132</f>
        <v xml:space="preserve">  </v>
      </c>
      <c r="D133" s="102">
        <f>DATOS!H132</f>
        <v>0</v>
      </c>
      <c r="E133" s="103">
        <f>DATOS!I132</f>
        <v>0</v>
      </c>
      <c r="F133" s="104">
        <f>DATOS!J132</f>
        <v>0</v>
      </c>
      <c r="G133" s="104">
        <f>DATOS!L132</f>
        <v>0</v>
      </c>
      <c r="H133" s="104">
        <f>DATOS!N132</f>
        <v>0</v>
      </c>
      <c r="I133" s="105"/>
      <c r="J133" s="1"/>
    </row>
    <row r="134" spans="1:10" x14ac:dyDescent="0.3">
      <c r="A134" s="1">
        <f>DATOS!B133</f>
        <v>131</v>
      </c>
      <c r="B134" s="100">
        <f>DATOS!C133</f>
        <v>0</v>
      </c>
      <c r="C134" s="101" t="str">
        <f>DATOS!G133</f>
        <v xml:space="preserve">  </v>
      </c>
      <c r="D134" s="102">
        <f>DATOS!H133</f>
        <v>0</v>
      </c>
      <c r="E134" s="103">
        <f>DATOS!I133</f>
        <v>0</v>
      </c>
      <c r="F134" s="104">
        <f>DATOS!J133</f>
        <v>0</v>
      </c>
      <c r="G134" s="104">
        <f>DATOS!L133</f>
        <v>0</v>
      </c>
      <c r="H134" s="104">
        <f>DATOS!N133</f>
        <v>0</v>
      </c>
      <c r="I134" s="105"/>
      <c r="J134" s="1"/>
    </row>
    <row r="135" spans="1:10" x14ac:dyDescent="0.3">
      <c r="A135" s="1">
        <f>DATOS!B134</f>
        <v>132</v>
      </c>
      <c r="B135" s="100">
        <f>DATOS!C134</f>
        <v>0</v>
      </c>
      <c r="C135" s="101" t="str">
        <f>DATOS!G134</f>
        <v xml:space="preserve">  </v>
      </c>
      <c r="D135" s="102">
        <f>DATOS!H134</f>
        <v>0</v>
      </c>
      <c r="E135" s="103">
        <f>DATOS!I134</f>
        <v>0</v>
      </c>
      <c r="F135" s="104">
        <f>DATOS!J134</f>
        <v>0</v>
      </c>
      <c r="G135" s="104">
        <f>DATOS!L134</f>
        <v>0</v>
      </c>
      <c r="H135" s="104">
        <f>DATOS!N134</f>
        <v>0</v>
      </c>
      <c r="I135" s="105"/>
      <c r="J135" s="1"/>
    </row>
    <row r="136" spans="1:10" x14ac:dyDescent="0.3">
      <c r="A136" s="1">
        <f>DATOS!B135</f>
        <v>133</v>
      </c>
      <c r="B136" s="100">
        <f>DATOS!C135</f>
        <v>0</v>
      </c>
      <c r="C136" s="101" t="str">
        <f>DATOS!G135</f>
        <v xml:space="preserve">  </v>
      </c>
      <c r="D136" s="102">
        <f>DATOS!H135</f>
        <v>0</v>
      </c>
      <c r="E136" s="103">
        <f>DATOS!I135</f>
        <v>0</v>
      </c>
      <c r="F136" s="104">
        <f>DATOS!J135</f>
        <v>0</v>
      </c>
      <c r="G136" s="104">
        <f>DATOS!L135</f>
        <v>0</v>
      </c>
      <c r="H136" s="104">
        <f>DATOS!N135</f>
        <v>0</v>
      </c>
      <c r="I136" s="105"/>
      <c r="J136" s="1"/>
    </row>
    <row r="137" spans="1:10" x14ac:dyDescent="0.3">
      <c r="A137" s="1">
        <f>DATOS!B136</f>
        <v>134</v>
      </c>
      <c r="B137" s="100">
        <f>DATOS!C136</f>
        <v>0</v>
      </c>
      <c r="C137" s="101" t="str">
        <f>DATOS!G136</f>
        <v xml:space="preserve">  </v>
      </c>
      <c r="D137" s="102">
        <f>DATOS!H136</f>
        <v>0</v>
      </c>
      <c r="E137" s="103">
        <f>DATOS!I136</f>
        <v>0</v>
      </c>
      <c r="F137" s="104">
        <f>DATOS!J136</f>
        <v>0</v>
      </c>
      <c r="G137" s="104">
        <f>DATOS!L136</f>
        <v>0</v>
      </c>
      <c r="H137" s="104">
        <f>DATOS!N136</f>
        <v>0</v>
      </c>
      <c r="I137" s="105"/>
      <c r="J137" s="1"/>
    </row>
    <row r="138" spans="1:10" x14ac:dyDescent="0.3">
      <c r="A138" s="1">
        <f>DATOS!B137</f>
        <v>135</v>
      </c>
      <c r="B138" s="100">
        <f>DATOS!C137</f>
        <v>0</v>
      </c>
      <c r="C138" s="101" t="str">
        <f>DATOS!G137</f>
        <v xml:space="preserve">  </v>
      </c>
      <c r="D138" s="102">
        <f>DATOS!H137</f>
        <v>0</v>
      </c>
      <c r="E138" s="103">
        <f>DATOS!I137</f>
        <v>0</v>
      </c>
      <c r="F138" s="104">
        <f>DATOS!J137</f>
        <v>0</v>
      </c>
      <c r="G138" s="104">
        <f>DATOS!L137</f>
        <v>0</v>
      </c>
      <c r="H138" s="104">
        <f>DATOS!N137</f>
        <v>0</v>
      </c>
      <c r="I138" s="105"/>
      <c r="J138" s="1"/>
    </row>
    <row r="139" spans="1:10" x14ac:dyDescent="0.3">
      <c r="A139" s="1">
        <f>DATOS!B138</f>
        <v>136</v>
      </c>
      <c r="B139" s="100">
        <f>DATOS!C138</f>
        <v>0</v>
      </c>
      <c r="C139" s="101" t="str">
        <f>DATOS!G138</f>
        <v xml:space="preserve">  </v>
      </c>
      <c r="D139" s="102">
        <f>DATOS!H138</f>
        <v>0</v>
      </c>
      <c r="E139" s="103">
        <f>DATOS!I138</f>
        <v>0</v>
      </c>
      <c r="F139" s="104">
        <f>DATOS!J138</f>
        <v>0</v>
      </c>
      <c r="G139" s="104">
        <f>DATOS!L138</f>
        <v>0</v>
      </c>
      <c r="H139" s="104">
        <f>DATOS!N138</f>
        <v>0</v>
      </c>
      <c r="I139" s="105"/>
      <c r="J139" s="1"/>
    </row>
    <row r="140" spans="1:10" x14ac:dyDescent="0.3">
      <c r="A140" s="1">
        <f>DATOS!B139</f>
        <v>137</v>
      </c>
      <c r="B140" s="100">
        <f>DATOS!C139</f>
        <v>0</v>
      </c>
      <c r="C140" s="101" t="str">
        <f>DATOS!G139</f>
        <v xml:space="preserve">  </v>
      </c>
      <c r="D140" s="102">
        <f>DATOS!H139</f>
        <v>0</v>
      </c>
      <c r="E140" s="103">
        <f>DATOS!I139</f>
        <v>0</v>
      </c>
      <c r="F140" s="104">
        <f>DATOS!J139</f>
        <v>0</v>
      </c>
      <c r="G140" s="104">
        <f>DATOS!L139</f>
        <v>0</v>
      </c>
      <c r="H140" s="104">
        <f>DATOS!N139</f>
        <v>0</v>
      </c>
      <c r="I140" s="105"/>
      <c r="J140" s="1"/>
    </row>
    <row r="141" spans="1:10" x14ac:dyDescent="0.3">
      <c r="A141" s="1">
        <f>DATOS!B140</f>
        <v>138</v>
      </c>
      <c r="B141" s="100">
        <f>DATOS!C140</f>
        <v>0</v>
      </c>
      <c r="C141" s="101" t="str">
        <f>DATOS!G140</f>
        <v xml:space="preserve">  </v>
      </c>
      <c r="D141" s="102">
        <f>DATOS!H140</f>
        <v>0</v>
      </c>
      <c r="E141" s="103">
        <f>DATOS!I140</f>
        <v>0</v>
      </c>
      <c r="F141" s="104">
        <f>DATOS!J140</f>
        <v>0</v>
      </c>
      <c r="G141" s="104">
        <f>DATOS!L140</f>
        <v>0</v>
      </c>
      <c r="H141" s="104">
        <f>DATOS!N140</f>
        <v>0</v>
      </c>
      <c r="I141" s="105"/>
      <c r="J141" s="1"/>
    </row>
    <row r="142" spans="1:10" x14ac:dyDescent="0.3">
      <c r="A142" s="1">
        <f>DATOS!B141</f>
        <v>139</v>
      </c>
      <c r="B142" s="100">
        <f>DATOS!C141</f>
        <v>0</v>
      </c>
      <c r="C142" s="101" t="str">
        <f>DATOS!G141</f>
        <v xml:space="preserve">  </v>
      </c>
      <c r="D142" s="102">
        <f>DATOS!H141</f>
        <v>0</v>
      </c>
      <c r="E142" s="103">
        <f>DATOS!I141</f>
        <v>0</v>
      </c>
      <c r="F142" s="104">
        <f>DATOS!J141</f>
        <v>0</v>
      </c>
      <c r="G142" s="104">
        <f>DATOS!L141</f>
        <v>0</v>
      </c>
      <c r="H142" s="104">
        <f>DATOS!N141</f>
        <v>0</v>
      </c>
      <c r="I142" s="105"/>
      <c r="J142" s="1"/>
    </row>
    <row r="143" spans="1:10" x14ac:dyDescent="0.3">
      <c r="A143" s="1">
        <f>DATOS!B142</f>
        <v>140</v>
      </c>
      <c r="B143" s="100">
        <f>DATOS!C142</f>
        <v>0</v>
      </c>
      <c r="C143" s="101" t="str">
        <f>DATOS!G142</f>
        <v xml:space="preserve">  </v>
      </c>
      <c r="D143" s="102">
        <f>DATOS!H142</f>
        <v>0</v>
      </c>
      <c r="E143" s="103">
        <f>DATOS!I142</f>
        <v>0</v>
      </c>
      <c r="F143" s="104">
        <f>DATOS!J142</f>
        <v>0</v>
      </c>
      <c r="G143" s="104">
        <f>DATOS!L142</f>
        <v>0</v>
      </c>
      <c r="H143" s="104">
        <f>DATOS!N142</f>
        <v>0</v>
      </c>
      <c r="I143" s="105"/>
      <c r="J143" s="1"/>
    </row>
    <row r="144" spans="1:10" x14ac:dyDescent="0.3">
      <c r="A144" s="1">
        <f>DATOS!B143</f>
        <v>141</v>
      </c>
      <c r="B144" s="100">
        <f>DATOS!C143</f>
        <v>0</v>
      </c>
      <c r="C144" s="101" t="str">
        <f>DATOS!G143</f>
        <v xml:space="preserve">  </v>
      </c>
      <c r="D144" s="102">
        <f>DATOS!H143</f>
        <v>0</v>
      </c>
      <c r="E144" s="103">
        <f>DATOS!I143</f>
        <v>0</v>
      </c>
      <c r="F144" s="104">
        <f>DATOS!J143</f>
        <v>0</v>
      </c>
      <c r="G144" s="104">
        <f>DATOS!L143</f>
        <v>0</v>
      </c>
      <c r="H144" s="104">
        <f>DATOS!N143</f>
        <v>0</v>
      </c>
      <c r="I144" s="105"/>
      <c r="J144" s="1"/>
    </row>
    <row r="145" spans="1:10" x14ac:dyDescent="0.3">
      <c r="A145" s="1">
        <f>DATOS!B144</f>
        <v>142</v>
      </c>
      <c r="B145" s="100">
        <f>DATOS!C144</f>
        <v>0</v>
      </c>
      <c r="C145" s="101" t="str">
        <f>DATOS!G144</f>
        <v xml:space="preserve">  </v>
      </c>
      <c r="D145" s="102">
        <f>DATOS!H144</f>
        <v>0</v>
      </c>
      <c r="E145" s="103">
        <f>DATOS!I144</f>
        <v>0</v>
      </c>
      <c r="F145" s="104">
        <f>DATOS!J144</f>
        <v>0</v>
      </c>
      <c r="G145" s="104">
        <f>DATOS!L144</f>
        <v>0</v>
      </c>
      <c r="H145" s="104">
        <f>DATOS!N144</f>
        <v>0</v>
      </c>
      <c r="I145" s="105"/>
      <c r="J145" s="1"/>
    </row>
    <row r="146" spans="1:10" x14ac:dyDescent="0.3">
      <c r="A146" s="1">
        <f>DATOS!B145</f>
        <v>143</v>
      </c>
      <c r="B146" s="100">
        <f>DATOS!C145</f>
        <v>0</v>
      </c>
      <c r="C146" s="101" t="str">
        <f>DATOS!G145</f>
        <v xml:space="preserve">  </v>
      </c>
      <c r="D146" s="102">
        <f>DATOS!H145</f>
        <v>0</v>
      </c>
      <c r="E146" s="103">
        <f>DATOS!I145</f>
        <v>0</v>
      </c>
      <c r="F146" s="104">
        <f>DATOS!J145</f>
        <v>0</v>
      </c>
      <c r="G146" s="104">
        <f>DATOS!L145</f>
        <v>0</v>
      </c>
      <c r="H146" s="104">
        <f>DATOS!N145</f>
        <v>0</v>
      </c>
      <c r="I146" s="105"/>
      <c r="J146" s="1"/>
    </row>
  </sheetData>
  <autoFilter ref="A3:J102" xr:uid="{00000000-0009-0000-0000-00000F000000}"/>
  <mergeCells count="1">
    <mergeCell ref="C1:H1"/>
  </mergeCells>
  <printOptions horizontalCentered="1"/>
  <pageMargins left="0.35433070866141736" right="0.15748031496062992" top="0.43307086614173229" bottom="0.74803149606299213" header="0.31496062992125984" footer="0.31496062992125984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17</vt:i4>
      </vt:variant>
    </vt:vector>
  </HeadingPairs>
  <TitlesOfParts>
    <vt:vector size="33" baseType="lpstr">
      <vt:lpstr>HEMATO</vt:lpstr>
      <vt:lpstr>G. SANGUINEO</vt:lpstr>
      <vt:lpstr>---TP---</vt:lpstr>
      <vt:lpstr>QMC </vt:lpstr>
      <vt:lpstr>ELEC. MICRO. PROT</vt:lpstr>
      <vt:lpstr>SERO</vt:lpstr>
      <vt:lpstr>EGO</vt:lpstr>
      <vt:lpstr>TOLER</vt:lpstr>
      <vt:lpstr>HTO-HB</vt:lpstr>
      <vt:lpstr>HTO-HB -LEUCO+WIDAL</vt:lpstr>
      <vt:lpstr>LIQUIDOS</vt:lpstr>
      <vt:lpstr>ESPERMATO</vt:lpstr>
      <vt:lpstr>VACIO</vt:lpstr>
      <vt:lpstr>DATOS</vt:lpstr>
      <vt:lpstr>SNIS NO TOCAR</vt:lpstr>
      <vt:lpstr>LISTA ENTREGA DE RESULTADOS</vt:lpstr>
      <vt:lpstr>EGO!Área_de_impresión</vt:lpstr>
      <vt:lpstr>'ELEC. MICRO. PROT'!Área_de_impresión</vt:lpstr>
      <vt:lpstr>ESPERMATO!Área_de_impresión</vt:lpstr>
      <vt:lpstr>'G. SANGUINEO'!Área_de_impresión</vt:lpstr>
      <vt:lpstr>HEMATO!Área_de_impresión</vt:lpstr>
      <vt:lpstr>'HTO-HB'!Área_de_impresión</vt:lpstr>
      <vt:lpstr>'HTO-HB -LEUCO+WIDAL'!Área_de_impresión</vt:lpstr>
      <vt:lpstr>LIQUIDOS!Área_de_impresión</vt:lpstr>
      <vt:lpstr>'LISTA ENTREGA DE RESULTADOS'!Área_de_impresión</vt:lpstr>
      <vt:lpstr>'QMC '!Área_de_impresión</vt:lpstr>
      <vt:lpstr>SERO!Área_de_impresión</vt:lpstr>
      <vt:lpstr>'SNIS NO TOCAR'!Área_de_impresión</vt:lpstr>
      <vt:lpstr>TOLER!Área_de_impresión</vt:lpstr>
      <vt:lpstr>'---TP---'!Área_de_impresión</vt:lpstr>
      <vt:lpstr>VACIO!Área_de_impresión</vt:lpstr>
      <vt:lpstr>ESPERMATO!U</vt:lpstr>
      <vt:lpstr>LIQUIDOS!U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ANAHI</dc:creator>
  <cp:lastModifiedBy>MANUEL</cp:lastModifiedBy>
  <cp:lastPrinted>2026-05-14T19:09:12Z</cp:lastPrinted>
  <dcterms:created xsi:type="dcterms:W3CDTF">2021-01-01T01:25:45Z</dcterms:created>
  <dcterms:modified xsi:type="dcterms:W3CDTF">2026-06-24T13:58:31Z</dcterms:modified>
</cp:coreProperties>
</file>